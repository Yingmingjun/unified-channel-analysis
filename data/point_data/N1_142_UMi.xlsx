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G:\My Drive\DataHarmonization\PointData Tables\"/>
    </mc:Choice>
  </mc:AlternateContent>
  <xr:revisionPtr revIDLastSave="0" documentId="13_ncr:1_{30CFB7D2-0FEE-454B-9423-E9778FBAC9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stFinalFix" sheetId="6" r:id="rId1"/>
    <sheet name="FinalTable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6" l="1"/>
  <c r="I31" i="6"/>
  <c r="J31" i="6"/>
  <c r="K31" i="6"/>
  <c r="L31" i="6"/>
  <c r="M31" i="6"/>
  <c r="N31" i="6"/>
  <c r="O31" i="6"/>
  <c r="P31" i="6"/>
  <c r="I30" i="6"/>
  <c r="J30" i="6"/>
  <c r="K30" i="6"/>
  <c r="L30" i="6"/>
  <c r="M30" i="6"/>
  <c r="N30" i="6"/>
  <c r="O30" i="6"/>
  <c r="P30" i="6"/>
  <c r="G31" i="6"/>
  <c r="G30" i="6"/>
  <c r="S35" i="6"/>
  <c r="T35" i="6"/>
  <c r="U35" i="6"/>
  <c r="V35" i="6"/>
  <c r="W35" i="6"/>
  <c r="X35" i="6"/>
  <c r="Y35" i="6"/>
  <c r="Z35" i="6"/>
  <c r="AA35" i="6"/>
  <c r="T34" i="6"/>
  <c r="U34" i="6"/>
  <c r="V34" i="6"/>
  <c r="W34" i="6"/>
  <c r="X34" i="6"/>
  <c r="Y34" i="6"/>
  <c r="Z34" i="6"/>
  <c r="AA34" i="6"/>
  <c r="R35" i="6"/>
  <c r="R34" i="6"/>
  <c r="R33" i="6"/>
  <c r="T33" i="6"/>
  <c r="U33" i="6"/>
  <c r="V33" i="6"/>
  <c r="W33" i="6"/>
  <c r="X33" i="6"/>
  <c r="Y33" i="6"/>
  <c r="Z33" i="6"/>
  <c r="AA33" i="6"/>
  <c r="R32" i="6"/>
  <c r="T32" i="6"/>
  <c r="U32" i="6"/>
  <c r="V32" i="6"/>
  <c r="W32" i="6"/>
  <c r="X32" i="6"/>
  <c r="Y32" i="6"/>
  <c r="Z32" i="6"/>
  <c r="AA32" i="6"/>
  <c r="R31" i="6"/>
  <c r="T31" i="6"/>
  <c r="U31" i="6"/>
  <c r="V31" i="6"/>
  <c r="W31" i="6"/>
  <c r="X31" i="6"/>
  <c r="Y31" i="6"/>
  <c r="Z31" i="6"/>
  <c r="AA31" i="6"/>
  <c r="R30" i="6"/>
  <c r="T30" i="6"/>
  <c r="U30" i="6"/>
  <c r="V30" i="6"/>
  <c r="W30" i="6"/>
  <c r="X30" i="6"/>
  <c r="Y30" i="6"/>
  <c r="Z30" i="6"/>
  <c r="AA30" i="6"/>
  <c r="AA3" i="6"/>
  <c r="AA4" i="6"/>
  <c r="AA5" i="6"/>
  <c r="AA6" i="6"/>
  <c r="AA7" i="6"/>
  <c r="AA8" i="6"/>
  <c r="AA9" i="6"/>
  <c r="AA10" i="6"/>
  <c r="AA11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Z3" i="6"/>
  <c r="Z4" i="6"/>
  <c r="Z5" i="6"/>
  <c r="Z6" i="6"/>
  <c r="Z7" i="6"/>
  <c r="Z8" i="6"/>
  <c r="Z9" i="6"/>
  <c r="Z10" i="6"/>
  <c r="Z11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Y3" i="6"/>
  <c r="Y4" i="6"/>
  <c r="Y5" i="6"/>
  <c r="Y6" i="6"/>
  <c r="Y7" i="6"/>
  <c r="Y8" i="6"/>
  <c r="Y9" i="6"/>
  <c r="Y10" i="6"/>
  <c r="Y11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X3" i="6"/>
  <c r="X4" i="6"/>
  <c r="X5" i="6"/>
  <c r="X6" i="6"/>
  <c r="X7" i="6"/>
  <c r="X8" i="6"/>
  <c r="X9" i="6"/>
  <c r="X10" i="6"/>
  <c r="X11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W3" i="6"/>
  <c r="W4" i="6"/>
  <c r="W5" i="6"/>
  <c r="W6" i="6"/>
  <c r="W7" i="6"/>
  <c r="W8" i="6"/>
  <c r="W9" i="6"/>
  <c r="W10" i="6"/>
  <c r="W11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V3" i="6"/>
  <c r="V4" i="6"/>
  <c r="V5" i="6"/>
  <c r="V6" i="6"/>
  <c r="V7" i="6"/>
  <c r="V8" i="6"/>
  <c r="V9" i="6"/>
  <c r="V10" i="6"/>
  <c r="V11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U3" i="6"/>
  <c r="U4" i="6"/>
  <c r="U5" i="6"/>
  <c r="U6" i="6"/>
  <c r="U7" i="6"/>
  <c r="U8" i="6"/>
  <c r="U9" i="6"/>
  <c r="U10" i="6"/>
  <c r="U11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T3" i="6"/>
  <c r="T4" i="6"/>
  <c r="T5" i="6"/>
  <c r="T6" i="6"/>
  <c r="T7" i="6"/>
  <c r="T8" i="6"/>
  <c r="T9" i="6"/>
  <c r="T10" i="6"/>
  <c r="T11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R3" i="6"/>
  <c r="R4" i="6"/>
  <c r="R5" i="6"/>
  <c r="R6" i="6"/>
  <c r="R7" i="6"/>
  <c r="R8" i="6"/>
  <c r="R9" i="6"/>
  <c r="R10" i="6"/>
  <c r="R11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S3" i="6"/>
  <c r="S4" i="6"/>
  <c r="S5" i="6"/>
  <c r="S6" i="6"/>
  <c r="S7" i="6"/>
  <c r="S8" i="6"/>
  <c r="S9" i="6"/>
  <c r="S10" i="6"/>
  <c r="S11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R2" i="6"/>
  <c r="S2" i="6"/>
  <c r="S32" i="6" l="1"/>
  <c r="S31" i="6"/>
  <c r="S33" i="6"/>
  <c r="S30" i="6"/>
  <c r="V2" i="6"/>
  <c r="W2" i="6"/>
  <c r="X2" i="6"/>
  <c r="Y2" i="6"/>
  <c r="Z2" i="6"/>
  <c r="AA2" i="6"/>
  <c r="U2" i="6"/>
  <c r="T2" i="6"/>
  <c r="S34" i="6" l="1"/>
  <c r="H30" i="6" s="1"/>
  <c r="AJ35" i="6"/>
  <c r="AC30" i="6"/>
  <c r="AG31" i="6"/>
  <c r="AK31" i="6"/>
  <c r="AE31" i="6"/>
  <c r="AL31" i="6"/>
  <c r="AD31" i="6"/>
  <c r="AC31" i="6"/>
  <c r="AF35" i="6"/>
  <c r="AJ31" i="6"/>
  <c r="AL35" i="6"/>
  <c r="AD30" i="6"/>
  <c r="AF31" i="6"/>
  <c r="AH35" i="6"/>
  <c r="AF34" i="6"/>
  <c r="AI31" i="6"/>
  <c r="AH31" i="6"/>
  <c r="AL34" i="6" l="1"/>
  <c r="AJ34" i="6"/>
  <c r="AH34" i="6"/>
  <c r="AF30" i="6"/>
  <c r="AJ30" i="6"/>
  <c r="AK30" i="6"/>
  <c r="AL30" i="6"/>
  <c r="AE30" i="6"/>
  <c r="AG30" i="6"/>
  <c r="AH30" i="6"/>
  <c r="AI30" i="6"/>
</calcChain>
</file>

<file path=xl/sharedStrings.xml><?xml version="1.0" encoding="utf-8"?>
<sst xmlns="http://schemas.openxmlformats.org/spreadsheetml/2006/main" count="190" uniqueCount="51">
  <si>
    <t>Freq.</t>
  </si>
  <si>
    <t>TX</t>
  </si>
  <si>
    <t>RX</t>
  </si>
  <si>
    <t>Loc Type</t>
  </si>
  <si>
    <t>TR Sep</t>
  </si>
  <si>
    <t>PL</t>
  </si>
  <si>
    <t>Mean Dir DS</t>
  </si>
  <si>
    <t>Omni DS</t>
  </si>
  <si>
    <t>Mean Lobe ASA</t>
  </si>
  <si>
    <t>Omni ASA</t>
  </si>
  <si>
    <t>Mean Lobe ASD</t>
  </si>
  <si>
    <t>Omni ASD</t>
  </si>
  <si>
    <t>Mean Lobe ZSA</t>
  </si>
  <si>
    <t>Omni ZSA</t>
  </si>
  <si>
    <t>Mean Lobe ZSD</t>
  </si>
  <si>
    <t>Omni ZSD</t>
  </si>
  <si>
    <t>TX1</t>
  </si>
  <si>
    <t>RX1</t>
  </si>
  <si>
    <t>LOS</t>
  </si>
  <si>
    <t>NLOS</t>
  </si>
  <si>
    <t>RX3</t>
  </si>
  <si>
    <t>TX2</t>
  </si>
  <si>
    <t>RX5</t>
  </si>
  <si>
    <t>TX3</t>
  </si>
  <si>
    <t>TX4</t>
  </si>
  <si>
    <t>Lobe ASA</t>
  </si>
  <si>
    <t>TX5</t>
  </si>
  <si>
    <t>Dir DS</t>
  </si>
  <si>
    <t>142 GHz</t>
  </si>
  <si>
    <t>RX9</t>
  </si>
  <si>
    <t>RX14</t>
  </si>
  <si>
    <t>RX16</t>
  </si>
  <si>
    <t>RX18</t>
  </si>
  <si>
    <t>RX23</t>
  </si>
  <si>
    <t>RX27</t>
  </si>
  <si>
    <t>RX31</t>
  </si>
  <si>
    <t>RX35</t>
  </si>
  <si>
    <t>RX36</t>
  </si>
  <si>
    <t>RX37</t>
  </si>
  <si>
    <t>RX38</t>
  </si>
  <si>
    <t>RX10</t>
  </si>
  <si>
    <t>TX6</t>
  </si>
  <si>
    <t>RX39</t>
  </si>
  <si>
    <t>RX40</t>
  </si>
  <si>
    <t>Outage</t>
  </si>
  <si>
    <t>muLOS</t>
  </si>
  <si>
    <t>muNLOS</t>
  </si>
  <si>
    <t>sigLOS</t>
  </si>
  <si>
    <t>sigNLOS</t>
  </si>
  <si>
    <t>meanLOS</t>
  </si>
  <si>
    <t>meanNLOS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</si>
</sst>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164" fontId="0" fillId="2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"/>
  <sheetViews>
    <sheetView tabSelected="1" topLeftCell="A4" zoomScale="81" zoomScaleNormal="145" workbookViewId="0">
      <selection activeCell="H27" sqref="H27"/>
    </sheetView>
  </sheetViews>
  <sheetFormatPr defaultColWidth="9" defaultRowHeight="14.5"/>
  <cols>
    <col min="1" max="1" width="9.26953125" customWidth="1"/>
    <col min="5" max="5" width="6.26953125" customWidth="1"/>
    <col min="6" max="6" width="5.81640625" customWidth="1"/>
    <col min="7" max="7" width="11.1796875" customWidth="1"/>
    <col min="8" max="8" width="8.1796875" customWidth="1"/>
    <col min="9" max="9" width="13.81640625" customWidth="1"/>
    <col min="10" max="10" width="9.26953125" style="4" customWidth="1"/>
    <col min="11" max="11" width="14" customWidth="1"/>
    <col min="12" max="12" width="8.7265625" style="4"/>
    <col min="13" max="13" width="13.7265625" customWidth="1"/>
    <col min="14" max="14" width="8.7265625" style="4"/>
    <col min="15" max="15" width="13.7265625" customWidth="1"/>
    <col min="16" max="16" width="8.7265625" style="4"/>
    <col min="18" max="19" width="12" bestFit="1" customWidth="1"/>
  </cols>
  <sheetData>
    <row r="1" spans="1:3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6" t="s">
        <v>14</v>
      </c>
      <c r="P1" s="7" t="s">
        <v>15</v>
      </c>
      <c r="R1" s="4" t="s">
        <v>27</v>
      </c>
      <c r="S1" t="s">
        <v>7</v>
      </c>
      <c r="T1" t="s">
        <v>25</v>
      </c>
      <c r="U1" s="4" t="s">
        <v>9</v>
      </c>
      <c r="V1" t="s">
        <v>10</v>
      </c>
      <c r="W1" s="4" t="s">
        <v>11</v>
      </c>
      <c r="X1" t="s">
        <v>12</v>
      </c>
      <c r="Y1" s="4" t="s">
        <v>13</v>
      </c>
      <c r="Z1" t="s">
        <v>14</v>
      </c>
      <c r="AA1" s="4" t="s">
        <v>15</v>
      </c>
      <c r="AC1" s="4" t="s">
        <v>27</v>
      </c>
      <c r="AD1" t="s">
        <v>7</v>
      </c>
      <c r="AE1" t="s">
        <v>25</v>
      </c>
      <c r="AF1" s="4" t="s">
        <v>9</v>
      </c>
      <c r="AG1" t="s">
        <v>10</v>
      </c>
      <c r="AH1" s="4" t="s">
        <v>11</v>
      </c>
      <c r="AI1" t="s">
        <v>12</v>
      </c>
      <c r="AJ1" s="4" t="s">
        <v>13</v>
      </c>
      <c r="AK1" t="s">
        <v>14</v>
      </c>
      <c r="AL1" s="4" t="s">
        <v>15</v>
      </c>
    </row>
    <row r="2" spans="1:38">
      <c r="A2" s="14" t="s">
        <v>28</v>
      </c>
      <c r="B2" s="13" t="s">
        <v>16</v>
      </c>
      <c r="C2" s="6" t="s">
        <v>17</v>
      </c>
      <c r="D2" s="6" t="s">
        <v>18</v>
      </c>
      <c r="E2" s="6">
        <v>24.43</v>
      </c>
      <c r="F2" s="6">
        <v>102.638833315253</v>
      </c>
      <c r="G2" s="10">
        <v>50.846579252066299</v>
      </c>
      <c r="H2" s="10">
        <v>15.7157945430355</v>
      </c>
      <c r="I2" s="10">
        <v>2.2979407466635999</v>
      </c>
      <c r="J2" s="11">
        <v>21.202747577418499</v>
      </c>
      <c r="K2" s="10">
        <v>2.7587161161960698</v>
      </c>
      <c r="L2" s="11">
        <v>20.1264183017582</v>
      </c>
      <c r="M2" s="10">
        <v>3.0636993960104899</v>
      </c>
      <c r="N2" s="11">
        <v>5.4326365814613604</v>
      </c>
      <c r="O2" s="10">
        <v>3.1930605523889399</v>
      </c>
      <c r="P2" s="11">
        <v>3.3416173325895202</v>
      </c>
      <c r="R2">
        <f t="shared" ref="R2:AA20" si="0">LOG10(G2)</f>
        <v>1.7062617407017646</v>
      </c>
      <c r="S2">
        <f t="shared" si="0"/>
        <v>1.1963363425240134</v>
      </c>
      <c r="T2">
        <f t="shared" ref="T2:AA17" si="1">LOG10(I2)</f>
        <v>0.36133882603686029</v>
      </c>
      <c r="U2">
        <f t="shared" si="1"/>
        <v>1.3263921430227807</v>
      </c>
      <c r="V2">
        <f t="shared" si="1"/>
        <v>0.4407070120004522</v>
      </c>
      <c r="W2">
        <f t="shared" si="1"/>
        <v>1.3037664947007004</v>
      </c>
      <c r="X2">
        <f t="shared" si="1"/>
        <v>0.48624615095457546</v>
      </c>
      <c r="Y2">
        <f t="shared" si="1"/>
        <v>0.73501065369101704</v>
      </c>
      <c r="Z2">
        <f t="shared" si="1"/>
        <v>0.50420715446773512</v>
      </c>
      <c r="AA2">
        <f t="shared" si="1"/>
        <v>0.52395671489905171</v>
      </c>
    </row>
    <row r="3" spans="1:38">
      <c r="A3" s="14"/>
      <c r="B3" s="13"/>
      <c r="C3" s="6" t="s">
        <v>22</v>
      </c>
      <c r="D3" s="6" t="s">
        <v>18</v>
      </c>
      <c r="E3" s="6">
        <v>27.22</v>
      </c>
      <c r="F3" s="6">
        <v>102.141585146539</v>
      </c>
      <c r="G3" s="10">
        <v>3.5510259263081302E-2</v>
      </c>
      <c r="H3" s="10">
        <v>6.0983517010386397</v>
      </c>
      <c r="I3" s="10">
        <v>2.4888374521216399</v>
      </c>
      <c r="J3" s="11">
        <v>2.4888374521216399</v>
      </c>
      <c r="K3" s="10">
        <v>2.4791596512550198</v>
      </c>
      <c r="L3" s="11">
        <v>4.3602294732248703</v>
      </c>
      <c r="M3" s="10">
        <v>3.3178785034780498</v>
      </c>
      <c r="N3" s="11">
        <v>6.6278898628327498</v>
      </c>
      <c r="O3" s="10">
        <v>3.3049722868925002</v>
      </c>
      <c r="P3" s="11">
        <v>3.4154332535339398</v>
      </c>
      <c r="R3">
        <f t="shared" si="0"/>
        <v>-1.4496461568700394</v>
      </c>
      <c r="S3">
        <f t="shared" si="0"/>
        <v>0.78521246716216808</v>
      </c>
      <c r="T3">
        <f t="shared" si="1"/>
        <v>0.39599653342987517</v>
      </c>
      <c r="U3">
        <f t="shared" si="1"/>
        <v>0.39599653342987517</v>
      </c>
      <c r="V3">
        <f t="shared" si="1"/>
        <v>0.39430449507218629</v>
      </c>
      <c r="W3">
        <f t="shared" si="1"/>
        <v>0.63950934622565003</v>
      </c>
      <c r="X3">
        <f t="shared" si="1"/>
        <v>0.52086047866388729</v>
      </c>
      <c r="Y3">
        <f t="shared" si="1"/>
        <v>0.82137528303616392</v>
      </c>
      <c r="Z3">
        <f t="shared" si="1"/>
        <v>0.51916782215747614</v>
      </c>
      <c r="AA3">
        <f t="shared" si="1"/>
        <v>0.5334458025078489</v>
      </c>
    </row>
    <row r="4" spans="1:38">
      <c r="A4" s="14"/>
      <c r="B4" s="13"/>
      <c r="C4" s="6" t="s">
        <v>29</v>
      </c>
      <c r="D4" s="6" t="s">
        <v>19</v>
      </c>
      <c r="E4" s="6">
        <v>32.65</v>
      </c>
      <c r="F4" s="6">
        <v>126.495989292562</v>
      </c>
      <c r="G4" s="10">
        <v>9.0059739572359607</v>
      </c>
      <c r="H4" s="10">
        <v>19.132384085333101</v>
      </c>
      <c r="I4" s="10">
        <v>3.94917602759616</v>
      </c>
      <c r="J4" s="11">
        <v>68.780180603359796</v>
      </c>
      <c r="K4" s="10">
        <v>2.5456143226150498</v>
      </c>
      <c r="L4" s="11">
        <v>2.5456143226150498</v>
      </c>
      <c r="M4" s="10">
        <v>3.6580449753898998</v>
      </c>
      <c r="N4" s="11">
        <v>6.2705355371728002</v>
      </c>
      <c r="O4" s="10">
        <v>3.39359667913791</v>
      </c>
      <c r="P4" s="11">
        <v>3.39359667913791</v>
      </c>
      <c r="R4">
        <f t="shared" si="0"/>
        <v>0.95453068677025521</v>
      </c>
      <c r="S4">
        <f t="shared" si="0"/>
        <v>1.281769090810966</v>
      </c>
      <c r="T4">
        <f t="shared" si="1"/>
        <v>0.59650649208293216</v>
      </c>
      <c r="U4">
        <f t="shared" si="1"/>
        <v>1.8374633118602255</v>
      </c>
      <c r="V4">
        <f t="shared" si="1"/>
        <v>0.40579260581884186</v>
      </c>
      <c r="W4">
        <f t="shared" si="1"/>
        <v>0.40579260581884186</v>
      </c>
      <c r="X4">
        <f t="shared" si="1"/>
        <v>0.56324904079145843</v>
      </c>
      <c r="Y4">
        <f t="shared" si="1"/>
        <v>0.79730463347934422</v>
      </c>
      <c r="Z4">
        <f t="shared" si="1"/>
        <v>0.53066022618639908</v>
      </c>
      <c r="AA4">
        <f t="shared" si="1"/>
        <v>0.53066022618639908</v>
      </c>
    </row>
    <row r="5" spans="1:38">
      <c r="A5" s="14"/>
      <c r="B5" s="13"/>
      <c r="C5" s="6" t="s">
        <v>30</v>
      </c>
      <c r="D5" s="6" t="s">
        <v>19</v>
      </c>
      <c r="E5" s="6">
        <v>45.95</v>
      </c>
      <c r="F5" s="6">
        <v>129.80820436359701</v>
      </c>
      <c r="G5" s="10">
        <v>4.4029693537511703</v>
      </c>
      <c r="H5" s="10">
        <v>13.143417065873299</v>
      </c>
      <c r="I5" s="10">
        <v>5.3023505912225799</v>
      </c>
      <c r="J5" s="11">
        <v>55.027848254376998</v>
      </c>
      <c r="K5" s="10">
        <v>2.4753085407450399</v>
      </c>
      <c r="L5" s="11">
        <v>2.4753085407450399</v>
      </c>
      <c r="M5" s="10">
        <v>3.07999343362152</v>
      </c>
      <c r="N5" s="11">
        <v>5.3016922295674398</v>
      </c>
      <c r="O5" s="10">
        <v>3.29983650049153</v>
      </c>
      <c r="P5" s="11">
        <v>3.29983650049153</v>
      </c>
      <c r="R5">
        <f t="shared" si="0"/>
        <v>0.64374566262439581</v>
      </c>
      <c r="S5">
        <f t="shared" si="0"/>
        <v>1.1187082891147244</v>
      </c>
      <c r="T5">
        <f t="shared" si="1"/>
        <v>0.72446843988133569</v>
      </c>
      <c r="U5">
        <f t="shared" si="1"/>
        <v>1.7405825309917684</v>
      </c>
      <c r="V5">
        <f t="shared" si="1"/>
        <v>0.39362934031663571</v>
      </c>
      <c r="W5">
        <f t="shared" si="1"/>
        <v>0.39362934031663571</v>
      </c>
      <c r="X5">
        <f t="shared" si="1"/>
        <v>0.48854979060921705</v>
      </c>
      <c r="Y5">
        <f t="shared" si="1"/>
        <v>0.72441451274446467</v>
      </c>
      <c r="Z5">
        <f t="shared" si="1"/>
        <v>0.51849242209200541</v>
      </c>
      <c r="AA5">
        <f t="shared" si="1"/>
        <v>0.51849242209200541</v>
      </c>
    </row>
    <row r="6" spans="1:38">
      <c r="A6" s="14"/>
      <c r="B6" s="13"/>
      <c r="C6" s="6" t="s">
        <v>31</v>
      </c>
      <c r="D6" s="6" t="s">
        <v>19</v>
      </c>
      <c r="E6" s="6">
        <v>49.4</v>
      </c>
      <c r="F6" s="6">
        <v>126.950128700832</v>
      </c>
      <c r="G6" s="10">
        <v>6.1903684983023597</v>
      </c>
      <c r="H6" s="10">
        <v>23.873724498822799</v>
      </c>
      <c r="I6" s="10">
        <v>2.5809546901832698</v>
      </c>
      <c r="J6" s="11">
        <v>50.559827555974998</v>
      </c>
      <c r="K6" s="10">
        <v>2.58043654684879</v>
      </c>
      <c r="L6" s="11">
        <v>3.1002503311268899</v>
      </c>
      <c r="M6" s="10">
        <v>4.8956501923141298</v>
      </c>
      <c r="N6" s="11">
        <v>6.9842194878689696</v>
      </c>
      <c r="O6" s="10">
        <v>3.4400368888645998</v>
      </c>
      <c r="P6" s="11">
        <v>3.4237101012715998</v>
      </c>
      <c r="R6">
        <f t="shared" si="0"/>
        <v>0.7917165023344801</v>
      </c>
      <c r="S6">
        <f t="shared" si="0"/>
        <v>1.377920177829798</v>
      </c>
      <c r="T6">
        <f t="shared" si="1"/>
        <v>0.41178038037645032</v>
      </c>
      <c r="U6">
        <f t="shared" si="1"/>
        <v>1.7038055840319193</v>
      </c>
      <c r="V6">
        <f t="shared" si="1"/>
        <v>0.41169318419952</v>
      </c>
      <c r="W6">
        <f t="shared" si="1"/>
        <v>0.49139676255611775</v>
      </c>
      <c r="X6">
        <f t="shared" si="1"/>
        <v>0.68981037870958273</v>
      </c>
      <c r="Y6">
        <f t="shared" si="1"/>
        <v>0.84411787916150383</v>
      </c>
      <c r="Z6">
        <f t="shared" si="1"/>
        <v>0.53656309970654215</v>
      </c>
      <c r="AA6">
        <f t="shared" si="1"/>
        <v>0.53449698417445446</v>
      </c>
    </row>
    <row r="7" spans="1:38">
      <c r="A7" s="14"/>
      <c r="B7" s="13"/>
      <c r="C7" s="6" t="s">
        <v>32</v>
      </c>
      <c r="D7" s="6" t="s">
        <v>19</v>
      </c>
      <c r="E7" s="6">
        <v>52.84</v>
      </c>
      <c r="F7" s="6">
        <v>137.06943638991601</v>
      </c>
      <c r="G7" s="10">
        <v>0.82088853625415203</v>
      </c>
      <c r="H7" s="10">
        <v>56.486776457857701</v>
      </c>
      <c r="I7" s="10">
        <v>3.2283287382004202</v>
      </c>
      <c r="J7" s="11">
        <v>40.229969782209899</v>
      </c>
      <c r="K7" s="10">
        <v>2.4489297881680598</v>
      </c>
      <c r="L7" s="11">
        <v>2.4489297881680598</v>
      </c>
      <c r="M7" s="10">
        <v>2.6621486282298301</v>
      </c>
      <c r="N7" s="11">
        <v>2.6345613000014598</v>
      </c>
      <c r="O7" s="10">
        <v>3.2646584030789798</v>
      </c>
      <c r="P7" s="11">
        <v>3.2646584030789798</v>
      </c>
      <c r="R7">
        <f t="shared" si="0"/>
        <v>-8.5715809233949877E-2</v>
      </c>
      <c r="S7">
        <f t="shared" si="0"/>
        <v>1.7519467914736275</v>
      </c>
      <c r="T7">
        <f t="shared" si="1"/>
        <v>0.50897775217058705</v>
      </c>
      <c r="U7">
        <f t="shared" si="1"/>
        <v>1.6045497063613576</v>
      </c>
      <c r="V7">
        <f t="shared" si="1"/>
        <v>0.38897633390042269</v>
      </c>
      <c r="W7">
        <f t="shared" si="1"/>
        <v>0.38897633390042269</v>
      </c>
      <c r="X7">
        <f t="shared" si="1"/>
        <v>0.42523229855344291</v>
      </c>
      <c r="Y7">
        <f t="shared" si="1"/>
        <v>0.42070830803033066</v>
      </c>
      <c r="Z7">
        <f t="shared" si="1"/>
        <v>0.5138377456665163</v>
      </c>
      <c r="AA7">
        <f t="shared" si="1"/>
        <v>0.5138377456665163</v>
      </c>
    </row>
    <row r="8" spans="1:38">
      <c r="A8" s="14"/>
      <c r="B8" s="13"/>
      <c r="C8" s="6" t="s">
        <v>33</v>
      </c>
      <c r="D8" s="6" t="s">
        <v>18</v>
      </c>
      <c r="E8" s="6">
        <v>43.34</v>
      </c>
      <c r="F8" s="6">
        <v>110.835800783751</v>
      </c>
      <c r="G8" s="10">
        <v>4.3732209238765902</v>
      </c>
      <c r="H8" s="10">
        <v>21.997939127624999</v>
      </c>
      <c r="I8" s="10">
        <v>2.9650608376058001</v>
      </c>
      <c r="J8" s="11">
        <v>51.726676413546002</v>
      </c>
      <c r="K8" s="10">
        <v>2.9688709965667801</v>
      </c>
      <c r="L8" s="11">
        <v>5.4687699033271997</v>
      </c>
      <c r="M8" s="10">
        <v>4.7466693847739503</v>
      </c>
      <c r="N8" s="11">
        <v>6.1420426384279203</v>
      </c>
      <c r="O8" s="10">
        <v>3.7219839130736898</v>
      </c>
      <c r="P8" s="11">
        <v>3.3569955161310698</v>
      </c>
      <c r="R8">
        <f t="shared" si="0"/>
        <v>0.64080141733959972</v>
      </c>
      <c r="S8">
        <f t="shared" si="0"/>
        <v>1.342381995939288</v>
      </c>
      <c r="T8">
        <f t="shared" si="1"/>
        <v>0.47203360871728972</v>
      </c>
      <c r="U8">
        <f t="shared" si="1"/>
        <v>1.7137145746467033</v>
      </c>
      <c r="V8">
        <f t="shared" si="1"/>
        <v>0.47259132703478279</v>
      </c>
      <c r="W8">
        <f t="shared" si="1"/>
        <v>0.73788965096331549</v>
      </c>
      <c r="X8">
        <f t="shared" si="1"/>
        <v>0.67638898327330788</v>
      </c>
      <c r="Y8">
        <f t="shared" si="1"/>
        <v>0.78831282701582372</v>
      </c>
      <c r="Z8">
        <f t="shared" si="1"/>
        <v>0.57077449171833083</v>
      </c>
      <c r="AA8">
        <f t="shared" si="1"/>
        <v>0.52595076117031381</v>
      </c>
    </row>
    <row r="9" spans="1:38">
      <c r="A9" s="14"/>
      <c r="B9" s="13"/>
      <c r="C9" s="6" t="s">
        <v>34</v>
      </c>
      <c r="D9" s="6" t="s">
        <v>18</v>
      </c>
      <c r="E9" s="6">
        <v>38.03</v>
      </c>
      <c r="F9" s="6">
        <v>104.407280372534</v>
      </c>
      <c r="G9" s="10">
        <v>2.7858324366674299</v>
      </c>
      <c r="H9" s="10">
        <v>9.2622229752728096</v>
      </c>
      <c r="I9" s="10">
        <v>2.45814826260301</v>
      </c>
      <c r="J9" s="11">
        <v>2.45814826260301</v>
      </c>
      <c r="K9" s="10">
        <v>2.5709112624637598</v>
      </c>
      <c r="L9" s="11">
        <v>2.78019010402569</v>
      </c>
      <c r="M9" s="10">
        <v>5.1474724542137604</v>
      </c>
      <c r="N9" s="11">
        <v>7.1890717506608697</v>
      </c>
      <c r="O9" s="10">
        <v>3.42733354305927</v>
      </c>
      <c r="P9" s="11">
        <v>3.4223879282108198</v>
      </c>
      <c r="R9">
        <f t="shared" si="0"/>
        <v>0.4449549907601576</v>
      </c>
      <c r="S9">
        <f t="shared" si="0"/>
        <v>0.96671523182576102</v>
      </c>
      <c r="T9">
        <f t="shared" si="1"/>
        <v>0.39060807370442169</v>
      </c>
      <c r="U9">
        <f t="shared" si="1"/>
        <v>0.39060807370442169</v>
      </c>
      <c r="V9">
        <f t="shared" si="1"/>
        <v>0.41008708679944889</v>
      </c>
      <c r="W9">
        <f t="shared" si="1"/>
        <v>0.4440744931506645</v>
      </c>
      <c r="X9">
        <f t="shared" si="1"/>
        <v>0.71159403124636378</v>
      </c>
      <c r="Y9">
        <f t="shared" si="1"/>
        <v>0.85667281811711116</v>
      </c>
      <c r="Z9">
        <f t="shared" si="1"/>
        <v>0.5349563713867701</v>
      </c>
      <c r="AA9">
        <f t="shared" si="1"/>
        <v>0.53432923534319787</v>
      </c>
    </row>
    <row r="10" spans="1:38">
      <c r="A10" s="14"/>
      <c r="B10" s="13"/>
      <c r="C10" s="6" t="s">
        <v>35</v>
      </c>
      <c r="D10" s="6" t="s">
        <v>18</v>
      </c>
      <c r="E10" s="6">
        <v>36.090000000000003</v>
      </c>
      <c r="F10" s="6">
        <v>105.059205772312</v>
      </c>
      <c r="G10" s="10">
        <v>16.819451981788198</v>
      </c>
      <c r="H10" s="10">
        <v>27.944244055669799</v>
      </c>
      <c r="I10" s="10">
        <v>3.0108769539346301</v>
      </c>
      <c r="J10" s="11">
        <v>3.0108769539346301</v>
      </c>
      <c r="K10" s="10">
        <v>2.5522934116674998</v>
      </c>
      <c r="L10" s="11">
        <v>2.9846108840468801</v>
      </c>
      <c r="M10" s="10">
        <v>4.3188735431105503</v>
      </c>
      <c r="N10" s="11">
        <v>5.09080812233789</v>
      </c>
      <c r="O10" s="10">
        <v>3.40250410299031</v>
      </c>
      <c r="P10" s="11">
        <v>3.3998377282662</v>
      </c>
      <c r="R10">
        <f t="shared" si="0"/>
        <v>1.225811841333317</v>
      </c>
      <c r="S10">
        <f t="shared" si="0"/>
        <v>1.446292365628725</v>
      </c>
      <c r="T10">
        <f t="shared" si="1"/>
        <v>0.47869300748249355</v>
      </c>
      <c r="U10">
        <f t="shared" si="1"/>
        <v>0.47869300748249355</v>
      </c>
      <c r="V10">
        <f t="shared" si="1"/>
        <v>0.4069305994156342</v>
      </c>
      <c r="W10">
        <f t="shared" si="1"/>
        <v>0.47488771840448318</v>
      </c>
      <c r="X10">
        <f t="shared" si="1"/>
        <v>0.63537048806386742</v>
      </c>
      <c r="Y10">
        <f t="shared" si="1"/>
        <v>0.70678672835137135</v>
      </c>
      <c r="Z10">
        <f t="shared" si="1"/>
        <v>0.53179865757999434</v>
      </c>
      <c r="AA10">
        <f t="shared" si="1"/>
        <v>0.53145818898332553</v>
      </c>
    </row>
    <row r="11" spans="1:38">
      <c r="A11" s="14"/>
      <c r="B11" s="13" t="s">
        <v>21</v>
      </c>
      <c r="C11" s="6" t="s">
        <v>17</v>
      </c>
      <c r="D11" s="6" t="s">
        <v>18</v>
      </c>
      <c r="E11" s="6">
        <v>83.6</v>
      </c>
      <c r="F11" s="6">
        <v>112.048285407485</v>
      </c>
      <c r="G11" s="10">
        <v>46.213674875259997</v>
      </c>
      <c r="H11" s="10">
        <v>31.387058015134599</v>
      </c>
      <c r="I11" s="10">
        <v>2.4511597261822802</v>
      </c>
      <c r="J11" s="11">
        <v>2.4511597261822802</v>
      </c>
      <c r="K11" s="10">
        <v>2.5194504975455199</v>
      </c>
      <c r="L11" s="11">
        <v>6.4077973568264897</v>
      </c>
      <c r="M11" s="10">
        <v>5.1294197379694504</v>
      </c>
      <c r="N11" s="11">
        <v>6.5381506153286599</v>
      </c>
      <c r="O11" s="10">
        <v>3.3587041136251501</v>
      </c>
      <c r="P11" s="11">
        <v>3.3542719032661901</v>
      </c>
      <c r="R11">
        <f t="shared" si="0"/>
        <v>1.6647705046491952</v>
      </c>
      <c r="S11">
        <f t="shared" si="0"/>
        <v>1.4967506101354868</v>
      </c>
      <c r="T11">
        <f t="shared" si="1"/>
        <v>0.38937161232894157</v>
      </c>
      <c r="U11">
        <f t="shared" si="1"/>
        <v>0.38937161232894157</v>
      </c>
      <c r="V11">
        <f t="shared" si="1"/>
        <v>0.40130582970745571</v>
      </c>
      <c r="W11">
        <f t="shared" si="1"/>
        <v>0.80670876896200827</v>
      </c>
      <c r="X11">
        <f t="shared" si="1"/>
        <v>0.7100682386300794</v>
      </c>
      <c r="Y11">
        <f t="shared" si="1"/>
        <v>0.81545492093274119</v>
      </c>
      <c r="Z11">
        <f t="shared" si="1"/>
        <v>0.52617174618167295</v>
      </c>
      <c r="AA11">
        <f t="shared" si="1"/>
        <v>0.52559826438272461</v>
      </c>
    </row>
    <row r="12" spans="1:38">
      <c r="A12" s="14"/>
      <c r="B12" s="13"/>
      <c r="C12" s="6" t="s">
        <v>30</v>
      </c>
      <c r="D12" s="6" t="s">
        <v>19</v>
      </c>
      <c r="E12" s="12">
        <v>102.7</v>
      </c>
      <c r="F12" s="15" t="s">
        <v>44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38">
      <c r="A13" s="14"/>
      <c r="B13" s="13"/>
      <c r="C13" s="6" t="s">
        <v>36</v>
      </c>
      <c r="D13" s="6" t="s">
        <v>18</v>
      </c>
      <c r="E13" s="6">
        <v>59.31</v>
      </c>
      <c r="F13" s="6">
        <v>109.245860407103</v>
      </c>
      <c r="G13" s="10">
        <v>15.6941142870705</v>
      </c>
      <c r="H13" s="10">
        <v>26.526560081173798</v>
      </c>
      <c r="I13" s="10">
        <v>2.4846330243168002</v>
      </c>
      <c r="J13" s="11">
        <v>2.4846330243168002</v>
      </c>
      <c r="K13" s="10">
        <v>2.60248709779676</v>
      </c>
      <c r="L13" s="11">
        <v>2.7043307202790499</v>
      </c>
      <c r="M13" s="10">
        <v>3.31227151464023</v>
      </c>
      <c r="N13" s="11">
        <v>6.6166611161846403</v>
      </c>
      <c r="O13" s="10">
        <v>3.4694447043554502</v>
      </c>
      <c r="P13" s="7">
        <v>3.4</v>
      </c>
      <c r="R13">
        <f t="shared" si="0"/>
        <v>1.1957368108871622</v>
      </c>
      <c r="S13">
        <f t="shared" si="0"/>
        <v>1.4236809350699329</v>
      </c>
      <c r="T13">
        <f t="shared" si="1"/>
        <v>0.39526225331749554</v>
      </c>
      <c r="U13">
        <f t="shared" si="1"/>
        <v>0.39526225331749554</v>
      </c>
      <c r="V13">
        <f t="shared" si="1"/>
        <v>0.41538858511069626</v>
      </c>
      <c r="W13">
        <f t="shared" si="1"/>
        <v>0.43205980162219709</v>
      </c>
      <c r="X13">
        <f t="shared" si="1"/>
        <v>0.52012592970610849</v>
      </c>
      <c r="Y13">
        <f t="shared" si="1"/>
        <v>0.82063889206540686</v>
      </c>
      <c r="Z13">
        <f t="shared" si="1"/>
        <v>0.54025997014171456</v>
      </c>
      <c r="AA13">
        <f t="shared" si="1"/>
        <v>0.53147891704225514</v>
      </c>
    </row>
    <row r="14" spans="1:38">
      <c r="A14" s="14"/>
      <c r="B14" s="13"/>
      <c r="C14" s="6" t="s">
        <v>37</v>
      </c>
      <c r="D14" s="6" t="s">
        <v>18</v>
      </c>
      <c r="E14" s="6">
        <v>36.92</v>
      </c>
      <c r="F14" s="6">
        <v>105.665050443648</v>
      </c>
      <c r="G14" s="10">
        <v>1.83639484194667</v>
      </c>
      <c r="H14" s="10">
        <v>21.317328796101901</v>
      </c>
      <c r="I14" s="10">
        <v>3.2662798357771501</v>
      </c>
      <c r="J14" s="11">
        <v>3.2662798357771501</v>
      </c>
      <c r="K14" s="10">
        <v>4.7257280560114099</v>
      </c>
      <c r="L14" s="11">
        <v>6.53248371744092</v>
      </c>
      <c r="M14" s="10">
        <v>5.1254024132286196</v>
      </c>
      <c r="N14" s="11">
        <v>6.63819817835821</v>
      </c>
      <c r="O14" s="10">
        <v>2.31159127797405</v>
      </c>
      <c r="P14" s="11">
        <v>2.6541866031189398</v>
      </c>
      <c r="R14">
        <f t="shared" si="0"/>
        <v>0.26396606425231223</v>
      </c>
      <c r="S14">
        <f t="shared" si="0"/>
        <v>1.3287327837600971</v>
      </c>
      <c r="T14">
        <f t="shared" si="1"/>
        <v>0.5140533898089984</v>
      </c>
      <c r="U14">
        <f t="shared" si="1"/>
        <v>0.5140533898089984</v>
      </c>
      <c r="V14">
        <f t="shared" si="1"/>
        <v>0.67446872635861599</v>
      </c>
      <c r="W14">
        <f t="shared" si="1"/>
        <v>0.81507833589888523</v>
      </c>
      <c r="X14">
        <f t="shared" si="1"/>
        <v>0.70972796904168789</v>
      </c>
      <c r="Y14">
        <f t="shared" si="1"/>
        <v>0.82205021379759968</v>
      </c>
      <c r="Z14">
        <f t="shared" si="1"/>
        <v>0.36391104713069805</v>
      </c>
      <c r="AA14">
        <f t="shared" si="1"/>
        <v>0.42393145276202759</v>
      </c>
    </row>
    <row r="15" spans="1:38">
      <c r="A15" s="14"/>
      <c r="B15" s="13" t="s">
        <v>23</v>
      </c>
      <c r="C15" s="6" t="s">
        <v>17</v>
      </c>
      <c r="D15" s="6" t="s">
        <v>19</v>
      </c>
      <c r="E15" s="6">
        <v>72.88</v>
      </c>
      <c r="F15" s="6">
        <v>130.63716058305801</v>
      </c>
      <c r="G15" s="10">
        <v>7.4548840767586899</v>
      </c>
      <c r="H15" s="10">
        <v>15.4695084852466</v>
      </c>
      <c r="I15" s="10">
        <v>3.511677152821</v>
      </c>
      <c r="J15" s="11">
        <v>12.017652392708699</v>
      </c>
      <c r="K15" s="10">
        <v>5.3123005943362296</v>
      </c>
      <c r="L15" s="11">
        <v>5.3123005943362296</v>
      </c>
      <c r="M15" s="10">
        <v>1.7664223505379399</v>
      </c>
      <c r="N15" s="11">
        <v>1.7064631014053699</v>
      </c>
      <c r="O15" s="10">
        <v>1.7976139432757601</v>
      </c>
      <c r="P15" s="11">
        <v>1.7976139432757601</v>
      </c>
      <c r="R15">
        <f t="shared" si="0"/>
        <v>0.87244089457433149</v>
      </c>
      <c r="S15">
        <f t="shared" si="0"/>
        <v>1.1894765150221651</v>
      </c>
      <c r="T15">
        <f t="shared" si="1"/>
        <v>0.54551458206512971</v>
      </c>
      <c r="U15">
        <f t="shared" si="1"/>
        <v>1.079819638010407</v>
      </c>
      <c r="V15">
        <f t="shared" si="1"/>
        <v>0.72528264142923582</v>
      </c>
      <c r="W15">
        <f t="shared" si="1"/>
        <v>0.72528264142923582</v>
      </c>
      <c r="X15">
        <f t="shared" si="1"/>
        <v>0.24709455121095106</v>
      </c>
      <c r="Y15">
        <f t="shared" si="1"/>
        <v>0.23209690203201008</v>
      </c>
      <c r="Z15">
        <f t="shared" si="1"/>
        <v>0.2546964280493888</v>
      </c>
      <c r="AA15">
        <f t="shared" si="1"/>
        <v>0.2546964280493888</v>
      </c>
    </row>
    <row r="16" spans="1:38">
      <c r="A16" s="14"/>
      <c r="B16" s="13"/>
      <c r="C16" s="6" t="s">
        <v>36</v>
      </c>
      <c r="D16" s="6" t="s">
        <v>18</v>
      </c>
      <c r="E16" s="6">
        <v>74.8</v>
      </c>
      <c r="F16" s="6">
        <v>116.783518327827</v>
      </c>
      <c r="G16" s="10">
        <v>0.90109377676087798</v>
      </c>
      <c r="H16" s="10">
        <v>27.166434464678801</v>
      </c>
      <c r="I16" s="10">
        <v>3.11507536441332</v>
      </c>
      <c r="J16" s="11">
        <v>13.7070987198247</v>
      </c>
      <c r="K16" s="10">
        <v>3.12667876979038</v>
      </c>
      <c r="L16" s="11">
        <v>24.350987672179599</v>
      </c>
      <c r="M16" s="10">
        <v>2.8752224077431601</v>
      </c>
      <c r="N16" s="11">
        <v>6.2491614758341196</v>
      </c>
      <c r="O16" s="10">
        <v>2.85372279494467</v>
      </c>
      <c r="P16" s="11">
        <v>2.8844881199994399</v>
      </c>
      <c r="R16">
        <f t="shared" si="0"/>
        <v>-4.523000967521814E-2</v>
      </c>
      <c r="S16">
        <f t="shared" si="0"/>
        <v>1.4340326419538236</v>
      </c>
      <c r="T16">
        <f t="shared" si="1"/>
        <v>0.49346855820318314</v>
      </c>
      <c r="U16">
        <f t="shared" si="1"/>
        <v>1.1369455406166697</v>
      </c>
      <c r="V16">
        <f t="shared" si="1"/>
        <v>0.49508326478189746</v>
      </c>
      <c r="W16">
        <f t="shared" si="1"/>
        <v>1.3865165808228721</v>
      </c>
      <c r="X16">
        <f t="shared" si="1"/>
        <v>0.45867144440641405</v>
      </c>
      <c r="Y16">
        <f t="shared" si="1"/>
        <v>0.79582174680817808</v>
      </c>
      <c r="Z16">
        <f t="shared" si="1"/>
        <v>0.45541178431021395</v>
      </c>
      <c r="AA16">
        <f t="shared" si="1"/>
        <v>0.46006875462045232</v>
      </c>
    </row>
    <row r="17" spans="1:39">
      <c r="A17" s="14"/>
      <c r="B17" s="13"/>
      <c r="C17" s="6" t="s">
        <v>37</v>
      </c>
      <c r="D17" s="6" t="s">
        <v>18</v>
      </c>
      <c r="E17" s="6">
        <v>82.48</v>
      </c>
      <c r="F17" s="6">
        <v>114.669616204173</v>
      </c>
      <c r="G17" s="10">
        <v>0.53157011456233405</v>
      </c>
      <c r="H17" s="10">
        <v>7.6440344155678597</v>
      </c>
      <c r="I17" s="10">
        <v>2.4538293517445502</v>
      </c>
      <c r="J17" s="11">
        <v>2.4538293517445502</v>
      </c>
      <c r="K17" s="10">
        <v>2.4972780380705899</v>
      </c>
      <c r="L17" s="11">
        <v>2.4972780380705899</v>
      </c>
      <c r="M17" s="10">
        <v>3.2711923176462698</v>
      </c>
      <c r="N17" s="11">
        <v>6.5343988647474598</v>
      </c>
      <c r="O17" s="10">
        <v>3.32913482795959</v>
      </c>
      <c r="P17" s="11">
        <v>3.7638142208359602</v>
      </c>
      <c r="R17">
        <f t="shared" si="0"/>
        <v>-0.27443944354102423</v>
      </c>
      <c r="S17">
        <f t="shared" si="0"/>
        <v>0.88332263370186148</v>
      </c>
      <c r="T17">
        <f t="shared" si="1"/>
        <v>0.38984435701664799</v>
      </c>
      <c r="U17">
        <f t="shared" si="1"/>
        <v>0.38984435701664799</v>
      </c>
      <c r="V17">
        <f t="shared" si="1"/>
        <v>0.39746689784898748</v>
      </c>
      <c r="W17">
        <f t="shared" si="1"/>
        <v>0.39746689784898748</v>
      </c>
      <c r="X17">
        <f t="shared" si="1"/>
        <v>0.51470607761238663</v>
      </c>
      <c r="Y17">
        <f t="shared" si="1"/>
        <v>0.81520564061873502</v>
      </c>
      <c r="Z17">
        <f t="shared" si="1"/>
        <v>0.52233138417833103</v>
      </c>
      <c r="AA17">
        <f t="shared" si="1"/>
        <v>0.5756281788208446</v>
      </c>
    </row>
    <row r="18" spans="1:39">
      <c r="A18" s="14"/>
      <c r="B18" s="13"/>
      <c r="C18" s="6" t="s">
        <v>38</v>
      </c>
      <c r="D18" s="6" t="s">
        <v>18</v>
      </c>
      <c r="E18" s="6">
        <v>96.4</v>
      </c>
      <c r="F18" s="6">
        <v>120.61929868496701</v>
      </c>
      <c r="G18" s="10">
        <v>5.6591266815818601E-2</v>
      </c>
      <c r="H18" s="10">
        <v>11.958662782605201</v>
      </c>
      <c r="I18" s="10">
        <v>2.8058147743033701</v>
      </c>
      <c r="J18" s="11">
        <v>2.8058147743033701</v>
      </c>
      <c r="K18" s="10">
        <v>2.4678677464647301</v>
      </c>
      <c r="L18" s="11">
        <v>2.4678677464647301</v>
      </c>
      <c r="M18" s="10">
        <v>2.1573375461723701</v>
      </c>
      <c r="N18" s="11">
        <v>4.9814481275614204</v>
      </c>
      <c r="O18" s="10">
        <v>3.2899135873196301</v>
      </c>
      <c r="P18" s="11">
        <v>3.2899135873196301</v>
      </c>
      <c r="R18">
        <f t="shared" si="0"/>
        <v>-1.2472505841180088</v>
      </c>
      <c r="S18">
        <f t="shared" si="0"/>
        <v>1.0776826195684484</v>
      </c>
      <c r="T18">
        <f t="shared" si="0"/>
        <v>0.44805899771404534</v>
      </c>
      <c r="U18">
        <f t="shared" si="0"/>
        <v>0.44805899771404534</v>
      </c>
      <c r="V18">
        <f t="shared" si="0"/>
        <v>0.39232188205505247</v>
      </c>
      <c r="W18">
        <f t="shared" si="0"/>
        <v>0.39232188205505247</v>
      </c>
      <c r="X18">
        <f t="shared" si="0"/>
        <v>0.33391810197368837</v>
      </c>
      <c r="Y18">
        <f t="shared" si="0"/>
        <v>0.6973556123151865</v>
      </c>
      <c r="Z18">
        <f t="shared" si="0"/>
        <v>0.51718449094599006</v>
      </c>
      <c r="AA18">
        <f t="shared" si="0"/>
        <v>0.51718449094599006</v>
      </c>
    </row>
    <row r="19" spans="1:39">
      <c r="A19" s="14"/>
      <c r="B19" s="13" t="s">
        <v>24</v>
      </c>
      <c r="C19" s="6" t="s">
        <v>17</v>
      </c>
      <c r="D19" s="6" t="s">
        <v>19</v>
      </c>
      <c r="E19" s="6">
        <v>117.43</v>
      </c>
      <c r="F19" s="6">
        <v>129.968557929382</v>
      </c>
      <c r="G19" s="10">
        <v>0.1</v>
      </c>
      <c r="H19" s="10">
        <v>26.3726624461843</v>
      </c>
      <c r="I19" s="10">
        <v>2.4489297881585301</v>
      </c>
      <c r="J19" s="11">
        <v>2.4489297881585301</v>
      </c>
      <c r="K19" s="10">
        <v>3.43473947282176</v>
      </c>
      <c r="L19" s="11">
        <v>3.43473947282176</v>
      </c>
      <c r="M19" s="10">
        <v>3.2646584030669001</v>
      </c>
      <c r="N19" s="11">
        <v>6.5213152175548901</v>
      </c>
      <c r="O19" s="10">
        <v>2.3262128762868302</v>
      </c>
      <c r="P19" s="11">
        <v>2.3262128762868302</v>
      </c>
      <c r="R19">
        <f t="shared" si="0"/>
        <v>-1</v>
      </c>
      <c r="S19">
        <f t="shared" si="0"/>
        <v>1.4211539761081087</v>
      </c>
      <c r="T19">
        <f t="shared" si="0"/>
        <v>0.38897633389873271</v>
      </c>
      <c r="U19">
        <f t="shared" si="0"/>
        <v>0.38897633389873271</v>
      </c>
      <c r="V19">
        <f t="shared" si="0"/>
        <v>0.53589380113156149</v>
      </c>
      <c r="W19">
        <f t="shared" si="0"/>
        <v>0.53589380113156149</v>
      </c>
      <c r="X19">
        <f t="shared" si="0"/>
        <v>0.51383774566490936</v>
      </c>
      <c r="Y19">
        <f t="shared" si="0"/>
        <v>0.81433519299017199</v>
      </c>
      <c r="Z19">
        <f t="shared" si="0"/>
        <v>0.36664945534788257</v>
      </c>
      <c r="AA19">
        <f t="shared" si="0"/>
        <v>0.36664945534788257</v>
      </c>
    </row>
    <row r="20" spans="1:39">
      <c r="A20" s="14"/>
      <c r="B20" s="13"/>
      <c r="C20" s="6" t="s">
        <v>20</v>
      </c>
      <c r="D20" s="6" t="s">
        <v>18</v>
      </c>
      <c r="E20" s="6">
        <v>117.25</v>
      </c>
      <c r="F20" s="6">
        <v>115.032287870517</v>
      </c>
      <c r="G20" s="10">
        <v>12.4848056817582</v>
      </c>
      <c r="H20" s="10">
        <v>16.967844620147599</v>
      </c>
      <c r="I20" s="10">
        <v>3.9304253048516999</v>
      </c>
      <c r="J20" s="11">
        <v>3.9304253048516999</v>
      </c>
      <c r="K20" s="10">
        <v>2.40478376932395</v>
      </c>
      <c r="L20" s="11">
        <v>2.7406766280486501</v>
      </c>
      <c r="M20" s="10">
        <v>0.74451178053371603</v>
      </c>
      <c r="N20" s="11">
        <v>3.7199053308288699</v>
      </c>
      <c r="O20" s="10">
        <v>3.2057871895331198</v>
      </c>
      <c r="P20" s="11">
        <v>3.1649870953695798</v>
      </c>
      <c r="R20">
        <f t="shared" si="0"/>
        <v>1.0963817872162498</v>
      </c>
      <c r="S20">
        <f t="shared" si="0"/>
        <v>1.2296266785565095</v>
      </c>
      <c r="T20">
        <f t="shared" si="0"/>
        <v>0.59443954720911873</v>
      </c>
      <c r="U20">
        <f t="shared" si="0"/>
        <v>0.59443954720911873</v>
      </c>
      <c r="V20">
        <f t="shared" si="0"/>
        <v>0.38107603205652485</v>
      </c>
      <c r="W20">
        <f t="shared" si="0"/>
        <v>0.43785779623307236</v>
      </c>
      <c r="X20">
        <f t="shared" si="0"/>
        <v>-0.12812842594362622</v>
      </c>
      <c r="Y20">
        <f t="shared" si="0"/>
        <v>0.57053188751044859</v>
      </c>
      <c r="Z20">
        <f t="shared" si="0"/>
        <v>0.50593468911012918</v>
      </c>
      <c r="AA20">
        <f t="shared" si="0"/>
        <v>0.50037194360417714</v>
      </c>
    </row>
    <row r="21" spans="1:39">
      <c r="A21" s="14"/>
      <c r="B21" s="13"/>
      <c r="C21" s="6" t="s">
        <v>38</v>
      </c>
      <c r="D21" s="6" t="s">
        <v>18</v>
      </c>
      <c r="E21" s="6">
        <v>44.31</v>
      </c>
      <c r="F21" s="6">
        <v>106.820101315278</v>
      </c>
      <c r="G21" s="10">
        <v>1.1006620286667499</v>
      </c>
      <c r="H21" s="10">
        <v>9.7824634085934008</v>
      </c>
      <c r="I21" s="10">
        <v>5.7507119929474797</v>
      </c>
      <c r="J21" s="11">
        <v>20.20668148751</v>
      </c>
      <c r="K21" s="10">
        <v>3.8416954337117901</v>
      </c>
      <c r="L21" s="11">
        <v>20.924900010376799</v>
      </c>
      <c r="M21" s="10">
        <v>2.56310008390808</v>
      </c>
      <c r="N21" s="11">
        <v>5.1541904623670103</v>
      </c>
      <c r="O21" s="10">
        <v>2.66376506983885</v>
      </c>
      <c r="P21" s="11">
        <v>2.5816544326891999</v>
      </c>
      <c r="R21">
        <f t="shared" ref="R21:R29" si="2">LOG10(G21)</f>
        <v>4.165398416894027E-2</v>
      </c>
      <c r="S21">
        <f t="shared" ref="S21:AA29" si="3">LOG10(H21)</f>
        <v>0.99044823209270827</v>
      </c>
      <c r="T21">
        <f t="shared" si="3"/>
        <v>0.7597216178140821</v>
      </c>
      <c r="U21">
        <f t="shared" si="3"/>
        <v>1.3054949958507789</v>
      </c>
      <c r="V21">
        <f t="shared" si="3"/>
        <v>0.584522931399858</v>
      </c>
      <c r="W21">
        <f t="shared" si="3"/>
        <v>1.3206633913943129</v>
      </c>
      <c r="X21">
        <f t="shared" si="3"/>
        <v>0.40876556484221027</v>
      </c>
      <c r="Y21">
        <f t="shared" si="3"/>
        <v>0.71216046295890445</v>
      </c>
      <c r="Z21">
        <f t="shared" si="3"/>
        <v>0.42549591968306277</v>
      </c>
      <c r="AA21">
        <f t="shared" si="3"/>
        <v>0.41189810934012228</v>
      </c>
    </row>
    <row r="22" spans="1:39">
      <c r="A22" s="14"/>
      <c r="B22" s="13"/>
      <c r="C22" s="6" t="s">
        <v>39</v>
      </c>
      <c r="D22" s="6" t="s">
        <v>19</v>
      </c>
      <c r="E22" s="6">
        <v>52.01</v>
      </c>
      <c r="F22" s="6">
        <v>139.91537497351999</v>
      </c>
      <c r="G22" s="10">
        <v>0.1</v>
      </c>
      <c r="H22" s="10">
        <v>0.1</v>
      </c>
      <c r="I22" s="10">
        <v>3.4341236895303902</v>
      </c>
      <c r="J22" s="11">
        <v>3.4341236895303902</v>
      </c>
      <c r="K22" s="10">
        <v>3.4341236895306002</v>
      </c>
      <c r="L22" s="11">
        <v>3.4341236895306002</v>
      </c>
      <c r="M22" s="10">
        <v>2.4241409514994401</v>
      </c>
      <c r="N22" s="11">
        <v>2.4241409514994401</v>
      </c>
      <c r="O22" s="10">
        <v>2.42414095149929</v>
      </c>
      <c r="P22" s="11">
        <v>2.42414095149929</v>
      </c>
      <c r="R22">
        <f t="shared" si="2"/>
        <v>-1</v>
      </c>
      <c r="S22">
        <f t="shared" si="3"/>
        <v>-1</v>
      </c>
      <c r="T22">
        <f t="shared" si="3"/>
        <v>0.53581593343209344</v>
      </c>
      <c r="U22">
        <f t="shared" si="3"/>
        <v>0.53581593343209344</v>
      </c>
      <c r="V22">
        <f t="shared" si="3"/>
        <v>0.53581593343211997</v>
      </c>
      <c r="W22">
        <f t="shared" si="3"/>
        <v>0.53581593343211997</v>
      </c>
      <c r="X22">
        <f t="shared" si="3"/>
        <v>0.38455786824950156</v>
      </c>
      <c r="Y22">
        <f t="shared" si="3"/>
        <v>0.38455786824950156</v>
      </c>
      <c r="Z22">
        <f t="shared" si="3"/>
        <v>0.38455786824947469</v>
      </c>
      <c r="AA22">
        <f t="shared" si="3"/>
        <v>0.38455786824947469</v>
      </c>
    </row>
    <row r="23" spans="1:39">
      <c r="A23" s="14"/>
      <c r="B23" s="13" t="s">
        <v>26</v>
      </c>
      <c r="C23" s="6" t="s">
        <v>17</v>
      </c>
      <c r="D23" s="6" t="s">
        <v>19</v>
      </c>
      <c r="E23" s="6">
        <v>61.45</v>
      </c>
      <c r="F23" s="6">
        <v>115.429611456873</v>
      </c>
      <c r="G23" s="10">
        <v>12.612696837282201</v>
      </c>
      <c r="H23" s="10">
        <v>42.026556620600097</v>
      </c>
      <c r="I23" s="10">
        <v>2.7691052874151501</v>
      </c>
      <c r="J23" s="11">
        <v>57.818163411798501</v>
      </c>
      <c r="K23" s="10">
        <v>3.7210194054213201</v>
      </c>
      <c r="L23" s="11">
        <v>10.6634167703752</v>
      </c>
      <c r="M23" s="10">
        <v>4.1165017940695998</v>
      </c>
      <c r="N23" s="11">
        <v>7.4676884063158298</v>
      </c>
      <c r="O23" s="10">
        <v>2.8067060129700798</v>
      </c>
      <c r="P23" s="11">
        <v>3.0437648074269199</v>
      </c>
      <c r="R23">
        <f t="shared" si="2"/>
        <v>1.100807957019273</v>
      </c>
      <c r="S23">
        <f t="shared" si="3"/>
        <v>1.6235238082320826</v>
      </c>
      <c r="T23">
        <f t="shared" si="3"/>
        <v>0.44233946888176312</v>
      </c>
      <c r="U23">
        <f t="shared" si="3"/>
        <v>1.7620642922327805</v>
      </c>
      <c r="V23">
        <f t="shared" si="3"/>
        <v>0.57066193490877481</v>
      </c>
      <c r="W23">
        <f t="shared" si="3"/>
        <v>1.0278963835612345</v>
      </c>
      <c r="X23">
        <f t="shared" si="3"/>
        <v>0.61452830902346722</v>
      </c>
      <c r="Y23">
        <f t="shared" si="3"/>
        <v>0.87318618846279106</v>
      </c>
      <c r="Z23">
        <f t="shared" si="3"/>
        <v>0.44819692505647651</v>
      </c>
      <c r="AA23">
        <f t="shared" si="3"/>
        <v>0.48341109133674981</v>
      </c>
    </row>
    <row r="24" spans="1:39">
      <c r="A24" s="14"/>
      <c r="B24" s="13"/>
      <c r="C24" s="6" t="s">
        <v>20</v>
      </c>
      <c r="D24" s="6" t="s">
        <v>18</v>
      </c>
      <c r="E24" s="6">
        <v>61.35</v>
      </c>
      <c r="F24" s="6">
        <v>107.198401200598</v>
      </c>
      <c r="G24" s="10">
        <v>1.49727920094855</v>
      </c>
      <c r="H24" s="10">
        <v>14.7329862987608</v>
      </c>
      <c r="I24" s="10">
        <v>2.4563440669079499</v>
      </c>
      <c r="J24" s="11">
        <v>2.4563440669079499</v>
      </c>
      <c r="K24" s="10">
        <v>2.4787957522173398</v>
      </c>
      <c r="L24" s="11">
        <v>2.54807035548634</v>
      </c>
      <c r="M24" s="10">
        <v>3.2745458735978401</v>
      </c>
      <c r="N24" s="11">
        <v>6.54111416975657</v>
      </c>
      <c r="O24" s="10">
        <v>3.3044869959202798</v>
      </c>
      <c r="P24" s="11">
        <v>3.2944437750152602</v>
      </c>
      <c r="R24">
        <f t="shared" si="2"/>
        <v>0.17530279174265895</v>
      </c>
      <c r="S24">
        <f t="shared" si="3"/>
        <v>1.1682907849704989</v>
      </c>
      <c r="T24">
        <f t="shared" si="3"/>
        <v>0.39028919955942232</v>
      </c>
      <c r="U24">
        <f t="shared" si="3"/>
        <v>0.39028919955942232</v>
      </c>
      <c r="V24">
        <f t="shared" si="3"/>
        <v>0.39424074325053521</v>
      </c>
      <c r="W24">
        <f t="shared" si="3"/>
        <v>0.40621141525579862</v>
      </c>
      <c r="X24">
        <f t="shared" si="3"/>
        <v>0.5151510789031184</v>
      </c>
      <c r="Y24">
        <f t="shared" si="3"/>
        <v>0.81565172945035069</v>
      </c>
      <c r="Z24">
        <f t="shared" si="3"/>
        <v>0.51910404713966807</v>
      </c>
      <c r="AA24">
        <f t="shared" si="3"/>
        <v>0.51778210001256286</v>
      </c>
    </row>
    <row r="25" spans="1:39">
      <c r="A25" s="14"/>
      <c r="B25" s="13"/>
      <c r="C25" s="6" t="s">
        <v>40</v>
      </c>
      <c r="D25" s="6" t="s">
        <v>19</v>
      </c>
      <c r="E25" s="6">
        <v>65.63</v>
      </c>
      <c r="F25" s="6">
        <v>122.64804927616601</v>
      </c>
      <c r="G25" s="10">
        <v>2.04639221620676</v>
      </c>
      <c r="H25" s="10">
        <v>36.155867128015799</v>
      </c>
      <c r="I25" s="10">
        <v>3.4716440769815899</v>
      </c>
      <c r="J25" s="11">
        <v>3.4716440769815899</v>
      </c>
      <c r="K25" s="10">
        <v>3.5338372522905002</v>
      </c>
      <c r="L25" s="11">
        <v>17.4447210069489</v>
      </c>
      <c r="M25" s="10">
        <v>2.4411984372345601</v>
      </c>
      <c r="N25" s="11">
        <v>5.1874329342553702</v>
      </c>
      <c r="O25" s="10">
        <v>2.48544940446045</v>
      </c>
      <c r="P25" s="11">
        <v>2.36806317841548</v>
      </c>
      <c r="R25">
        <f t="shared" si="2"/>
        <v>0.31098887522640756</v>
      </c>
      <c r="S25">
        <f t="shared" si="3"/>
        <v>1.5581787817016333</v>
      </c>
      <c r="T25">
        <f t="shared" si="3"/>
        <v>0.54053519365699854</v>
      </c>
      <c r="U25">
        <f t="shared" si="3"/>
        <v>0.54053519365699854</v>
      </c>
      <c r="V25">
        <f t="shared" si="3"/>
        <v>0.548246544587917</v>
      </c>
      <c r="W25">
        <f t="shared" si="3"/>
        <v>1.2416640281772811</v>
      </c>
      <c r="X25">
        <f t="shared" si="3"/>
        <v>0.38760308326529269</v>
      </c>
      <c r="Y25">
        <f t="shared" si="3"/>
        <v>0.71495249497873292</v>
      </c>
      <c r="Z25">
        <f t="shared" si="3"/>
        <v>0.39540492676397937</v>
      </c>
      <c r="AA25">
        <f t="shared" si="3"/>
        <v>0.37439328490527424</v>
      </c>
    </row>
    <row r="26" spans="1:39">
      <c r="A26" s="14"/>
      <c r="B26" s="13"/>
      <c r="C26" s="6" t="s">
        <v>36</v>
      </c>
      <c r="D26" s="6" t="s">
        <v>18</v>
      </c>
      <c r="E26" s="6">
        <v>85.64</v>
      </c>
      <c r="F26" s="6">
        <v>109.657665001166</v>
      </c>
      <c r="G26" s="10">
        <v>0.361824232857057</v>
      </c>
      <c r="H26" s="10">
        <v>1.28817746509942</v>
      </c>
      <c r="I26" s="10">
        <v>2.4638138075294602</v>
      </c>
      <c r="J26" s="11">
        <v>2.4638138075294602</v>
      </c>
      <c r="K26" s="10">
        <v>3.7374764509415401</v>
      </c>
      <c r="L26" s="11">
        <v>3.7374764509415401</v>
      </c>
      <c r="M26" s="10">
        <v>3.2845073388608501</v>
      </c>
      <c r="N26" s="11">
        <v>6.56106173562622</v>
      </c>
      <c r="O26" s="10">
        <v>2.61516656668651</v>
      </c>
      <c r="P26" s="11">
        <v>2.61516656668651</v>
      </c>
      <c r="R26">
        <f t="shared" si="2"/>
        <v>-0.44150235001443505</v>
      </c>
      <c r="S26">
        <f t="shared" si="3"/>
        <v>0.10997569749915422</v>
      </c>
      <c r="T26">
        <f t="shared" si="3"/>
        <v>0.39160788473513597</v>
      </c>
      <c r="U26">
        <f t="shared" si="3"/>
        <v>0.39160788473513597</v>
      </c>
      <c r="V26">
        <f t="shared" si="3"/>
        <v>0.57257846494228859</v>
      </c>
      <c r="W26">
        <f t="shared" si="3"/>
        <v>0.57257846494228859</v>
      </c>
      <c r="X26">
        <f t="shared" si="3"/>
        <v>0.51647023658685209</v>
      </c>
      <c r="Y26">
        <f t="shared" si="3"/>
        <v>0.8169741242251648</v>
      </c>
      <c r="Z26">
        <f t="shared" si="3"/>
        <v>0.41749935541707622</v>
      </c>
      <c r="AA26">
        <f t="shared" si="3"/>
        <v>0.41749935541707622</v>
      </c>
    </row>
    <row r="27" spans="1:39">
      <c r="A27" s="14"/>
      <c r="B27" s="13" t="s">
        <v>41</v>
      </c>
      <c r="C27" s="6" t="s">
        <v>17</v>
      </c>
      <c r="D27" s="6" t="s">
        <v>18</v>
      </c>
      <c r="E27" s="6">
        <v>39.08</v>
      </c>
      <c r="F27" s="6">
        <v>105.584988260575</v>
      </c>
      <c r="G27" s="10">
        <v>2.2018513450091102</v>
      </c>
      <c r="H27" s="10">
        <v>15</v>
      </c>
      <c r="I27" s="10">
        <v>2.9908251589686801</v>
      </c>
      <c r="J27" s="11">
        <v>2.9908251589686801</v>
      </c>
      <c r="K27" s="10">
        <v>3.7302702726132799</v>
      </c>
      <c r="L27" s="11">
        <v>11.4382021282404</v>
      </c>
      <c r="M27" s="10">
        <v>3.7864606399655898</v>
      </c>
      <c r="N27" s="11">
        <v>5.4110071499738899</v>
      </c>
      <c r="O27" s="10">
        <v>1.1672154634668399</v>
      </c>
      <c r="P27" s="11">
        <v>1.1374488139874199</v>
      </c>
      <c r="R27">
        <f t="shared" si="2"/>
        <v>0.34278799482576777</v>
      </c>
      <c r="S27">
        <f t="shared" si="3"/>
        <v>1.1760912590556813</v>
      </c>
      <c r="T27">
        <f t="shared" si="3"/>
        <v>0.47579102529659967</v>
      </c>
      <c r="U27">
        <f t="shared" si="3"/>
        <v>0.47579102529659967</v>
      </c>
      <c r="V27">
        <f t="shared" si="3"/>
        <v>0.5717402992757683</v>
      </c>
      <c r="W27">
        <f t="shared" si="3"/>
        <v>1.0583577668394186</v>
      </c>
      <c r="X27">
        <f t="shared" si="3"/>
        <v>0.5782334467186413</v>
      </c>
      <c r="Y27">
        <f t="shared" si="3"/>
        <v>0.73327810779917846</v>
      </c>
      <c r="Z27">
        <f t="shared" si="3"/>
        <v>6.7151032529872687E-2</v>
      </c>
      <c r="AA27">
        <f t="shared" si="3"/>
        <v>5.5931862205646547E-2</v>
      </c>
    </row>
    <row r="28" spans="1:39">
      <c r="A28" s="14"/>
      <c r="B28" s="13"/>
      <c r="C28" s="6" t="s">
        <v>42</v>
      </c>
      <c r="D28" s="6" t="s">
        <v>19</v>
      </c>
      <c r="E28" s="6">
        <v>48.65</v>
      </c>
      <c r="F28" s="6">
        <v>114.74485012614601</v>
      </c>
      <c r="G28" s="10">
        <v>1.7207675238922</v>
      </c>
      <c r="H28" s="10">
        <v>23.895302337926299</v>
      </c>
      <c r="I28" s="10">
        <v>3.43486264338063</v>
      </c>
      <c r="J28" s="11">
        <v>61.824834820597097</v>
      </c>
      <c r="K28" s="10">
        <v>4.1540234290533604</v>
      </c>
      <c r="L28" s="11">
        <v>31.982190078829401</v>
      </c>
      <c r="M28" s="10">
        <v>2.99890289155385</v>
      </c>
      <c r="N28" s="11">
        <v>6.0340424343735304</v>
      </c>
      <c r="O28" s="10">
        <v>1.8074698827725</v>
      </c>
      <c r="P28" s="11">
        <v>1.72707758313225</v>
      </c>
      <c r="R28">
        <f t="shared" si="2"/>
        <v>0.23572220100126523</v>
      </c>
      <c r="S28">
        <f t="shared" si="3"/>
        <v>1.3783125298500076</v>
      </c>
      <c r="T28">
        <f t="shared" si="3"/>
        <v>0.53590937475377454</v>
      </c>
      <c r="U28">
        <f t="shared" si="3"/>
        <v>1.7911629647163267</v>
      </c>
      <c r="V28">
        <f t="shared" si="3"/>
        <v>0.61846894166463073</v>
      </c>
      <c r="W28">
        <f t="shared" si="3"/>
        <v>1.5049082000788747</v>
      </c>
      <c r="X28">
        <f t="shared" si="3"/>
        <v>0.47696240295688586</v>
      </c>
      <c r="Y28">
        <f t="shared" si="3"/>
        <v>0.78060836002350165</v>
      </c>
      <c r="Z28">
        <f t="shared" si="3"/>
        <v>0.25707106953244147</v>
      </c>
      <c r="AA28">
        <f t="shared" si="3"/>
        <v>0.23731184721970003</v>
      </c>
    </row>
    <row r="29" spans="1:39">
      <c r="A29" s="14"/>
      <c r="B29" s="13"/>
      <c r="C29" s="6" t="s">
        <v>43</v>
      </c>
      <c r="D29" s="6" t="s">
        <v>19</v>
      </c>
      <c r="E29" s="6">
        <v>53.02</v>
      </c>
      <c r="F29" s="6">
        <v>121.685216679221</v>
      </c>
      <c r="G29" s="10">
        <v>1.85359854749373</v>
      </c>
      <c r="H29" s="10">
        <v>29.8032633236379</v>
      </c>
      <c r="I29" s="10">
        <v>3.4265345827822702</v>
      </c>
      <c r="J29" s="11">
        <v>34.020791790140201</v>
      </c>
      <c r="K29" s="10">
        <v>3.3274225227023901</v>
      </c>
      <c r="L29" s="11">
        <v>19.775462706614</v>
      </c>
      <c r="M29" s="10">
        <v>3.7521669275767602</v>
      </c>
      <c r="N29" s="11">
        <v>5.4041772288318901</v>
      </c>
      <c r="O29" s="10">
        <v>2.1813906897514199</v>
      </c>
      <c r="P29" s="11">
        <v>2.1002206516650599</v>
      </c>
      <c r="R29">
        <f t="shared" si="2"/>
        <v>0.26801568046269969</v>
      </c>
      <c r="S29">
        <f t="shared" si="3"/>
        <v>1.4742638199774254</v>
      </c>
      <c r="T29">
        <f t="shared" si="3"/>
        <v>0.53485511935368113</v>
      </c>
      <c r="U29">
        <f t="shared" si="3"/>
        <v>1.531744417039252</v>
      </c>
      <c r="V29">
        <f t="shared" si="3"/>
        <v>0.52210795194399018</v>
      </c>
      <c r="W29">
        <f t="shared" si="3"/>
        <v>1.2961266539182985</v>
      </c>
      <c r="X29">
        <f t="shared" si="3"/>
        <v>0.57428215116567138</v>
      </c>
      <c r="Y29">
        <f t="shared" si="3"/>
        <v>0.73272958317782622</v>
      </c>
      <c r="Z29">
        <f t="shared" si="3"/>
        <v>0.33873345522006831</v>
      </c>
      <c r="AA29">
        <f t="shared" si="3"/>
        <v>0.32226492462272449</v>
      </c>
    </row>
    <row r="30" spans="1:39">
      <c r="A30" s="8"/>
      <c r="B30" s="9"/>
      <c r="C30" s="6"/>
      <c r="D30" s="6" t="s">
        <v>18</v>
      </c>
      <c r="E30" s="6"/>
      <c r="F30" s="6"/>
      <c r="G30" s="10">
        <f>10^R34</f>
        <v>5.7568775854602023</v>
      </c>
      <c r="H30" s="10">
        <f t="shared" ref="H30:P30" si="4">10^S34</f>
        <v>15.415777125459448</v>
      </c>
      <c r="I30" s="10">
        <f t="shared" si="4"/>
        <v>2.9104222773308224</v>
      </c>
      <c r="J30" s="10">
        <f t="shared" si="4"/>
        <v>5.829223809086181</v>
      </c>
      <c r="K30" s="10">
        <f t="shared" si="4"/>
        <v>2.9300898165635605</v>
      </c>
      <c r="L30" s="10">
        <f t="shared" si="4"/>
        <v>6.1716057820166927</v>
      </c>
      <c r="M30" s="10">
        <f t="shared" si="4"/>
        <v>3.3977917677294807</v>
      </c>
      <c r="N30" s="10">
        <f t="shared" si="4"/>
        <v>5.9274144446200854</v>
      </c>
      <c r="O30" s="10">
        <f t="shared" si="4"/>
        <v>3.0013691469501707</v>
      </c>
      <c r="P30" s="10">
        <f t="shared" si="4"/>
        <v>3.0305597764832832</v>
      </c>
      <c r="Q30" s="3" t="s">
        <v>45</v>
      </c>
      <c r="R30">
        <f>AVERAGE(R2,R3,R8,R9,R10,R11,R13,R14,R16,R17,R18,R20,R21,R24,R26,R27)</f>
        <v>0.33377258647864999</v>
      </c>
      <c r="S30">
        <f>AVERAGE(S2,S3,S8,S9,S10,S11,S13,S14,S16,S17,S18,S20,S21,S24,S26,S27)</f>
        <v>1.1284733299652601</v>
      </c>
      <c r="T30">
        <f t="shared" ref="T30:AA30" si="5">AVERAGE(T2,T3,T8,T9,T10,T11,T13,T14,T16,T17,T18,T20,T21,T24,T26,T27)</f>
        <v>0.45878615577341325</v>
      </c>
      <c r="U30">
        <f t="shared" si="5"/>
        <v>0.67103519598375805</v>
      </c>
      <c r="V30">
        <f t="shared" si="5"/>
        <v>0.46280088606938652</v>
      </c>
      <c r="W30">
        <f t="shared" si="5"/>
        <v>0.72662180033248158</v>
      </c>
      <c r="X30">
        <f t="shared" si="5"/>
        <v>0.51051061216747262</v>
      </c>
      <c r="Y30">
        <f t="shared" si="5"/>
        <v>0.77020510304333623</v>
      </c>
      <c r="Z30">
        <f t="shared" si="5"/>
        <v>0.47008499775492102</v>
      </c>
      <c r="AA30">
        <f t="shared" si="5"/>
        <v>0.47415713325360109</v>
      </c>
      <c r="AB30" s="3"/>
      <c r="AC30" s="5">
        <f>POWER(10,(R30+(0.5*POWER(R32,2))))</f>
        <v>5.7568775854602023</v>
      </c>
      <c r="AD30" s="5">
        <f t="shared" ref="AD30:AL30" si="6">POWER(10,(S30+(0.5*POWER(S32,2))))</f>
        <v>15.415777125459448</v>
      </c>
      <c r="AE30" s="5">
        <f t="shared" si="6"/>
        <v>2.9104222773308224</v>
      </c>
      <c r="AF30" s="5">
        <f>POWER(10,(U30+(0.5*POWER(U32,2))))</f>
        <v>5.829223809086181</v>
      </c>
      <c r="AG30" s="5">
        <f t="shared" si="6"/>
        <v>2.9300898165635605</v>
      </c>
      <c r="AH30" s="5">
        <f t="shared" si="6"/>
        <v>6.1716057820166927</v>
      </c>
      <c r="AI30" s="5">
        <f t="shared" si="6"/>
        <v>3.3977917677294807</v>
      </c>
      <c r="AJ30" s="5">
        <f t="shared" si="6"/>
        <v>5.9274144446200854</v>
      </c>
      <c r="AK30" s="5">
        <f t="shared" si="6"/>
        <v>3.0013691469501707</v>
      </c>
      <c r="AL30" s="5">
        <f t="shared" si="6"/>
        <v>3.0305597764832832</v>
      </c>
      <c r="AM30" s="5"/>
    </row>
    <row r="31" spans="1:39">
      <c r="A31" s="8"/>
      <c r="B31" s="9"/>
      <c r="C31" s="6"/>
      <c r="D31" s="6" t="s">
        <v>19</v>
      </c>
      <c r="E31" s="6"/>
      <c r="F31" s="6"/>
      <c r="G31" s="10">
        <f>10^R35</f>
        <v>3.5114560165781219</v>
      </c>
      <c r="H31" s="10">
        <f t="shared" ref="H31:P31" si="7">10^S35</f>
        <v>30.228203902184003</v>
      </c>
      <c r="I31" s="10">
        <f t="shared" si="7"/>
        <v>3.3757290815432026</v>
      </c>
      <c r="J31" s="10">
        <f t="shared" si="7"/>
        <v>30.4644170610899</v>
      </c>
      <c r="K31" s="10">
        <f t="shared" si="7"/>
        <v>3.3105201687739454</v>
      </c>
      <c r="L31" s="10">
        <f t="shared" si="7"/>
        <v>7.2901895986612057</v>
      </c>
      <c r="M31" s="10">
        <f t="shared" si="7"/>
        <v>3.1293995025059176</v>
      </c>
      <c r="N31" s="10">
        <f t="shared" si="7"/>
        <v>4.8821556363285721</v>
      </c>
      <c r="O31" s="10">
        <f t="shared" si="7"/>
        <v>2.6221624470285998</v>
      </c>
      <c r="P31" s="10">
        <f t="shared" si="7"/>
        <v>2.6130661622437001</v>
      </c>
      <c r="Q31" s="3" t="s">
        <v>46</v>
      </c>
      <c r="R31">
        <f>AVERAGE(R4,R5,R6,R7,R15,R19,R22,R23,R25,R28,R29)</f>
        <v>0.28111387734355986</v>
      </c>
      <c r="S31">
        <f>AVERAGE(S4,S5,S6,S7,S15,S19,S22,S23,S25,S28,S29)</f>
        <v>1.1977503436473218</v>
      </c>
      <c r="T31">
        <f t="shared" ref="T31:AA31" si="8">AVERAGE(T4,T5,T6,T7,T15,T19,T22,T23,T25,T28,T29)</f>
        <v>0.52415264277758888</v>
      </c>
      <c r="U31">
        <f t="shared" si="8"/>
        <v>1.3196836278392601</v>
      </c>
      <c r="V31">
        <f t="shared" si="8"/>
        <v>0.51423356484851368</v>
      </c>
      <c r="W31">
        <f t="shared" si="8"/>
        <v>0.77703478948369309</v>
      </c>
      <c r="X31">
        <f t="shared" si="8"/>
        <v>0.48779160183639819</v>
      </c>
      <c r="Y31">
        <f t="shared" si="8"/>
        <v>0.66536472030274352</v>
      </c>
      <c r="Z31">
        <f t="shared" si="8"/>
        <v>0.41316942017010683</v>
      </c>
      <c r="AA31">
        <f t="shared" si="8"/>
        <v>0.41097929798641547</v>
      </c>
      <c r="AC31" s="5">
        <f>POWER(10,(R31+(0.5*POWER(R33,2))))</f>
        <v>3.5114560165781219</v>
      </c>
      <c r="AD31" s="5">
        <f t="shared" ref="AD31:AL31" si="9">POWER(10,(S31+(0.5*POWER(S33,2))))</f>
        <v>30.228203902184003</v>
      </c>
      <c r="AE31" s="5">
        <f t="shared" si="9"/>
        <v>3.3757290815432026</v>
      </c>
      <c r="AF31" s="5">
        <f>POWER(10,(U31+(0.5*POWER(U33,2))))</f>
        <v>30.4644170610899</v>
      </c>
      <c r="AG31" s="5">
        <f t="shared" si="9"/>
        <v>3.3105201687739454</v>
      </c>
      <c r="AH31" s="5">
        <f t="shared" si="9"/>
        <v>7.2901895986612057</v>
      </c>
      <c r="AI31" s="5">
        <f t="shared" si="9"/>
        <v>3.1293995025059176</v>
      </c>
      <c r="AJ31" s="5">
        <f t="shared" si="9"/>
        <v>4.8821556363285721</v>
      </c>
      <c r="AK31" s="5">
        <f t="shared" si="9"/>
        <v>2.6221624470285998</v>
      </c>
      <c r="AL31" s="5">
        <f t="shared" si="9"/>
        <v>2.6130661622437001</v>
      </c>
    </row>
    <row r="32" spans="1:39">
      <c r="A32" s="1"/>
      <c r="B32" s="2"/>
      <c r="G32" s="3"/>
      <c r="H32" s="3"/>
      <c r="I32" s="3"/>
      <c r="J32" s="3"/>
      <c r="K32" s="3"/>
      <c r="L32" s="3"/>
      <c r="M32" s="3"/>
      <c r="N32" s="3"/>
      <c r="O32" s="3"/>
      <c r="P32" s="3"/>
      <c r="Q32" t="s">
        <v>47</v>
      </c>
      <c r="R32">
        <f>_xlfn.STDEV.S(R2,R3,R8,R9,R10,R11,R13,R14,R16,R17,R18,R20,R21,R24,R26,R27)</f>
        <v>0.92348731254366834</v>
      </c>
      <c r="S32">
        <f>_xlfn.STDEV.S(S2,S3,S8,S9,S10,S11,S13,S14,S16,S17,S18,S20,S21,S24,S26,S27)</f>
        <v>0.34494084388049051</v>
      </c>
      <c r="T32">
        <f t="shared" ref="T32:AA32" si="10">_xlfn.STDEV.S(T2,T3,T8,T9,T10,T11,T13,T14,T16,T17,T18,T20,T21,T24,T26,T27)</f>
        <v>0.10168431729368499</v>
      </c>
      <c r="U32">
        <f t="shared" si="10"/>
        <v>0.43491501261108734</v>
      </c>
      <c r="V32">
        <f t="shared" si="10"/>
        <v>9.0333238563125057E-2</v>
      </c>
      <c r="W32">
        <f t="shared" si="10"/>
        <v>0.35714528392689443</v>
      </c>
      <c r="X32">
        <f t="shared" si="10"/>
        <v>0.20340180737860997</v>
      </c>
      <c r="Y32">
        <f t="shared" si="10"/>
        <v>7.2940950267969415E-2</v>
      </c>
      <c r="Z32">
        <f t="shared" si="10"/>
        <v>0.12028645868771025</v>
      </c>
      <c r="AA32">
        <f t="shared" si="10"/>
        <v>0.12137315558294033</v>
      </c>
    </row>
    <row r="33" spans="1:38">
      <c r="A33" s="1"/>
      <c r="B33" s="2"/>
      <c r="G33" s="3"/>
      <c r="H33" s="3"/>
      <c r="I33" s="3"/>
      <c r="J33" s="3"/>
      <c r="K33" s="3"/>
      <c r="L33" s="3"/>
      <c r="M33" s="3"/>
      <c r="N33" s="3"/>
      <c r="O33" s="3"/>
      <c r="P33" s="3"/>
      <c r="Q33" t="s">
        <v>48</v>
      </c>
      <c r="R33">
        <f>_xlfn.STDEV.S(R4,R5,R6,R7,R15,R19,R22,R23,R25,R28,R29)</f>
        <v>0.72714971718791976</v>
      </c>
      <c r="S33">
        <f>_xlfn.STDEV.S(S4,S5,S6,S7,S15,S19,S22,S23,S25,S28,S29)</f>
        <v>0.75188030883992829</v>
      </c>
      <c r="T33">
        <f t="shared" ref="T33:AA33" si="11">_xlfn.STDEV.S(T4,T5,T6,T7,T15,T19,T22,T23,T25,T28,T29)</f>
        <v>9.1814403646525086E-2</v>
      </c>
      <c r="U33">
        <f t="shared" si="11"/>
        <v>0.57290355984787489</v>
      </c>
      <c r="V33">
        <f t="shared" si="11"/>
        <v>0.1064206111729602</v>
      </c>
      <c r="W33">
        <f t="shared" si="11"/>
        <v>0.41401457423287374</v>
      </c>
      <c r="X33">
        <f t="shared" si="11"/>
        <v>0.12384996850731038</v>
      </c>
      <c r="Y33">
        <f t="shared" si="11"/>
        <v>0.21562420876564037</v>
      </c>
      <c r="Z33">
        <f t="shared" si="11"/>
        <v>0.10478714838969237</v>
      </c>
      <c r="AA33">
        <f t="shared" si="11"/>
        <v>0.11109552752557397</v>
      </c>
    </row>
    <row r="34" spans="1:38">
      <c r="A34" s="1"/>
      <c r="B34" s="2"/>
      <c r="G34" s="3"/>
      <c r="H34" s="3"/>
      <c r="I34" s="3"/>
      <c r="J34" s="3"/>
      <c r="K34" s="3"/>
      <c r="L34" s="3"/>
      <c r="M34" s="3"/>
      <c r="N34" s="3"/>
      <c r="O34" s="3"/>
      <c r="P34" s="3"/>
      <c r="Q34" t="s">
        <v>49</v>
      </c>
      <c r="R34">
        <f>R30+(0.5*(R32^2))</f>
        <v>0.76018699469321349</v>
      </c>
      <c r="S34">
        <f t="shared" ref="S34:AA34" si="12">S30+(0.5*(S32^2))</f>
        <v>1.1879654228537526</v>
      </c>
      <c r="T34">
        <f t="shared" si="12"/>
        <v>0.46395600596515463</v>
      </c>
      <c r="U34">
        <f t="shared" si="12"/>
        <v>0.76561073008100922</v>
      </c>
      <c r="V34">
        <f t="shared" si="12"/>
        <v>0.46688093306403777</v>
      </c>
      <c r="W34">
        <f t="shared" si="12"/>
        <v>0.79039817724809258</v>
      </c>
      <c r="X34">
        <f t="shared" si="12"/>
        <v>0.53119675978991521</v>
      </c>
      <c r="Y34">
        <f t="shared" si="12"/>
        <v>0.77286529415633343</v>
      </c>
      <c r="Z34">
        <f t="shared" si="12"/>
        <v>0.47731941382673615</v>
      </c>
      <c r="AA34">
        <f t="shared" si="12"/>
        <v>0.48152285470168144</v>
      </c>
      <c r="AF34" s="5">
        <f>POWER(10,(U34+(0.5*POWER(U36,2))))</f>
        <v>5.829223809086181</v>
      </c>
      <c r="AH34" s="5">
        <f>POWER(10,(W34+(0.5*POWER(W36,2))))</f>
        <v>6.1716057820166927</v>
      </c>
      <c r="AJ34" s="5">
        <f>POWER(10,(Y34+(0.5*POWER(Y36,2))))</f>
        <v>5.9274144446200854</v>
      </c>
      <c r="AL34" s="5">
        <f>POWER(10,(AA34+(0.5*POWER(AA36,2))))</f>
        <v>3.0305597764832832</v>
      </c>
    </row>
    <row r="35" spans="1:38">
      <c r="A35" s="1"/>
      <c r="B35" s="2"/>
      <c r="G35" s="3"/>
      <c r="H35" s="3"/>
      <c r="I35" s="3"/>
      <c r="J35" s="3"/>
      <c r="K35" s="3"/>
      <c r="L35" s="3"/>
      <c r="M35" s="3"/>
      <c r="N35" s="3"/>
      <c r="O35" s="3"/>
      <c r="P35" s="3"/>
      <c r="Q35" t="s">
        <v>50</v>
      </c>
      <c r="R35">
        <f>R31+(0.5*(R33^2))</f>
        <v>0.54548723294679569</v>
      </c>
      <c r="S35">
        <f t="shared" ref="S35:AA35" si="13">S31+(0.5*(S33^2))</f>
        <v>1.4804123430579348</v>
      </c>
      <c r="T35">
        <f t="shared" si="13"/>
        <v>0.5283675851360724</v>
      </c>
      <c r="U35">
        <f t="shared" si="13"/>
        <v>1.4837928722824438</v>
      </c>
      <c r="V35">
        <f t="shared" si="13"/>
        <v>0.51989623808972685</v>
      </c>
      <c r="W35">
        <f t="shared" si="13"/>
        <v>0.862738823322307</v>
      </c>
      <c r="X35">
        <f t="shared" si="13"/>
        <v>0.49546100918602909</v>
      </c>
      <c r="Y35">
        <f t="shared" si="13"/>
        <v>0.6886116200056478</v>
      </c>
      <c r="Z35">
        <f t="shared" si="13"/>
        <v>0.41865959340392855</v>
      </c>
      <c r="AA35">
        <f t="shared" si="13"/>
        <v>0.41715040610450826</v>
      </c>
      <c r="AF35" s="5">
        <f>POWER(10,(U35+(0.5*POWER(U37,2))))</f>
        <v>30.4644170610899</v>
      </c>
      <c r="AH35" s="5">
        <f>POWER(10,(W35+(0.5*POWER(W37,2))))</f>
        <v>7.2901895986612057</v>
      </c>
      <c r="AJ35" s="5">
        <f>POWER(10,(Y35+(0.5*POWER(Y37,2))))</f>
        <v>4.8821556363285721</v>
      </c>
      <c r="AL35" s="5">
        <f>POWER(10,(AA35+(0.5*POWER(AA37,2))))</f>
        <v>2.6130661622437001</v>
      </c>
    </row>
    <row r="36" spans="1:38">
      <c r="A36" s="1"/>
      <c r="B36" s="2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38">
      <c r="A37" s="1"/>
      <c r="B37" s="2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38">
      <c r="A38" s="1"/>
      <c r="B38" s="2"/>
      <c r="G38" s="3"/>
      <c r="H38" s="3"/>
      <c r="I38" s="3"/>
      <c r="J38" s="3"/>
      <c r="K38" s="3"/>
      <c r="L38" s="3"/>
      <c r="M38" s="3"/>
      <c r="N38" s="3"/>
      <c r="O38" s="3"/>
      <c r="P38" s="3"/>
    </row>
  </sheetData>
  <mergeCells count="8">
    <mergeCell ref="B27:B29"/>
    <mergeCell ref="A2:A29"/>
    <mergeCell ref="F12:P12"/>
    <mergeCell ref="B23:B26"/>
    <mergeCell ref="B2:B10"/>
    <mergeCell ref="B11:B14"/>
    <mergeCell ref="B15:B18"/>
    <mergeCell ref="B19:B2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P31"/>
  <sheetViews>
    <sheetView workbookViewId="0">
      <selection activeCell="I3" sqref="I3"/>
    </sheetView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" t="s">
        <v>28</v>
      </c>
      <c r="B2" s="16" t="s">
        <v>16</v>
      </c>
      <c r="C2" t="s">
        <v>17</v>
      </c>
      <c r="D2" t="s">
        <v>18</v>
      </c>
      <c r="E2">
        <v>24.43</v>
      </c>
      <c r="F2">
        <v>102.638833315253</v>
      </c>
      <c r="G2">
        <v>50.846579252066299</v>
      </c>
      <c r="H2">
        <v>15.7157945430355</v>
      </c>
      <c r="I2">
        <v>2.2979407466635999</v>
      </c>
      <c r="J2">
        <v>21.202747577418499</v>
      </c>
      <c r="K2">
        <v>2.7587161161960698</v>
      </c>
      <c r="L2">
        <v>20.1264183017582</v>
      </c>
      <c r="M2">
        <v>3.0636993960104899</v>
      </c>
      <c r="N2">
        <v>5.4326365814613604</v>
      </c>
      <c r="O2">
        <v>3.1930605523889399</v>
      </c>
      <c r="P2">
        <v>3.3416173325895202</v>
      </c>
    </row>
    <row r="3" spans="1:16">
      <c r="A3" s="16"/>
      <c r="B3" s="16"/>
      <c r="C3" t="s">
        <v>22</v>
      </c>
      <c r="D3" t="s">
        <v>18</v>
      </c>
      <c r="E3">
        <v>27.22</v>
      </c>
      <c r="F3">
        <v>102.141585146539</v>
      </c>
      <c r="G3">
        <v>3.5510259263081302E-2</v>
      </c>
      <c r="H3">
        <v>6.0983517010386397</v>
      </c>
      <c r="I3">
        <v>2.4888374521216399</v>
      </c>
      <c r="J3">
        <v>2.4888374521216399</v>
      </c>
      <c r="K3">
        <v>2.4791596512550198</v>
      </c>
      <c r="L3">
        <v>4.3602294732248703</v>
      </c>
      <c r="M3">
        <v>3.3178785034780498</v>
      </c>
      <c r="N3">
        <v>6.6278898628327498</v>
      </c>
      <c r="O3">
        <v>3.3049722868925002</v>
      </c>
      <c r="P3">
        <v>3.4154332535339398</v>
      </c>
    </row>
    <row r="4" spans="1:16">
      <c r="A4" s="16"/>
      <c r="B4" s="16"/>
      <c r="C4" t="s">
        <v>29</v>
      </c>
      <c r="D4" t="s">
        <v>19</v>
      </c>
      <c r="E4">
        <v>32.65</v>
      </c>
      <c r="F4">
        <v>126.495989292562</v>
      </c>
      <c r="G4">
        <v>9.0059739572359607</v>
      </c>
      <c r="H4">
        <v>19.132384085333101</v>
      </c>
      <c r="I4">
        <v>3.94917602759616</v>
      </c>
      <c r="J4">
        <v>68.780180603359796</v>
      </c>
      <c r="K4">
        <v>2.5456143226150498</v>
      </c>
      <c r="L4">
        <v>2.5456143226150498</v>
      </c>
      <c r="M4">
        <v>3.6580449753898998</v>
      </c>
      <c r="N4">
        <v>6.2705355371728002</v>
      </c>
      <c r="O4">
        <v>3.39359667913791</v>
      </c>
      <c r="P4">
        <v>3.39359667913791</v>
      </c>
    </row>
    <row r="5" spans="1:16">
      <c r="A5" s="16"/>
      <c r="B5" s="16"/>
      <c r="C5" t="s">
        <v>30</v>
      </c>
      <c r="D5" t="s">
        <v>19</v>
      </c>
      <c r="E5">
        <v>45.95</v>
      </c>
      <c r="F5">
        <v>129.80820436359701</v>
      </c>
      <c r="G5">
        <v>4.4029693537511703</v>
      </c>
      <c r="H5">
        <v>13.143417065873299</v>
      </c>
      <c r="I5">
        <v>5.3023505912225799</v>
      </c>
      <c r="J5">
        <v>55.027848254376998</v>
      </c>
      <c r="K5">
        <v>2.4753085407450399</v>
      </c>
      <c r="L5">
        <v>2.4753085407450399</v>
      </c>
      <c r="M5">
        <v>3.07999343362152</v>
      </c>
      <c r="N5">
        <v>5.3016922295674398</v>
      </c>
      <c r="O5">
        <v>3.29983650049153</v>
      </c>
      <c r="P5">
        <v>3.29983650049153</v>
      </c>
    </row>
    <row r="6" spans="1:16">
      <c r="A6" s="16"/>
      <c r="B6" s="16"/>
      <c r="C6" t="s">
        <v>31</v>
      </c>
      <c r="D6" t="s">
        <v>19</v>
      </c>
      <c r="E6">
        <v>49.4</v>
      </c>
      <c r="F6">
        <v>126.950128700832</v>
      </c>
      <c r="G6">
        <v>6.1903684983023597</v>
      </c>
      <c r="H6">
        <v>23.873724498822799</v>
      </c>
      <c r="I6">
        <v>2.5809546901832698</v>
      </c>
      <c r="J6">
        <v>50.559827555974998</v>
      </c>
      <c r="K6">
        <v>2.58043654684879</v>
      </c>
      <c r="L6">
        <v>3.1002503311268899</v>
      </c>
      <c r="M6">
        <v>4.8956501923141298</v>
      </c>
      <c r="N6">
        <v>6.9842194878689696</v>
      </c>
      <c r="O6">
        <v>3.4400368888645998</v>
      </c>
      <c r="P6">
        <v>3.4237101012715998</v>
      </c>
    </row>
    <row r="7" spans="1:16">
      <c r="A7" s="16"/>
      <c r="B7" s="16"/>
      <c r="C7" t="s">
        <v>32</v>
      </c>
      <c r="D7" t="s">
        <v>19</v>
      </c>
      <c r="E7">
        <v>52.84</v>
      </c>
      <c r="F7">
        <v>137.06943638991601</v>
      </c>
      <c r="G7">
        <v>0.82088853625415203</v>
      </c>
      <c r="H7">
        <v>56.486776457857701</v>
      </c>
      <c r="I7">
        <v>3.2283287382004202</v>
      </c>
      <c r="J7">
        <v>40.229969782209899</v>
      </c>
      <c r="K7">
        <v>2.4489297881680598</v>
      </c>
      <c r="L7">
        <v>2.4489297881680598</v>
      </c>
      <c r="M7">
        <v>2.6621486282298301</v>
      </c>
      <c r="N7">
        <v>2.6345613000014598</v>
      </c>
      <c r="O7">
        <v>3.2646584030789798</v>
      </c>
      <c r="P7">
        <v>3.2646584030789798</v>
      </c>
    </row>
    <row r="8" spans="1:16">
      <c r="A8" s="16"/>
      <c r="B8" s="16"/>
      <c r="C8" t="s">
        <v>33</v>
      </c>
      <c r="D8" t="s">
        <v>18</v>
      </c>
      <c r="E8">
        <v>43.34</v>
      </c>
      <c r="F8">
        <v>110.835800783751</v>
      </c>
      <c r="G8">
        <v>4.3732209238765902</v>
      </c>
      <c r="H8">
        <v>21.997939127624999</v>
      </c>
      <c r="I8">
        <v>2.9650608376058001</v>
      </c>
      <c r="J8">
        <v>51.726676413546002</v>
      </c>
      <c r="K8">
        <v>2.9688709965667801</v>
      </c>
      <c r="L8">
        <v>5.4687699033271997</v>
      </c>
      <c r="M8">
        <v>4.7466693847739503</v>
      </c>
      <c r="N8">
        <v>6.1420426384279203</v>
      </c>
      <c r="O8">
        <v>3.7219839130736898</v>
      </c>
      <c r="P8">
        <v>3.3569955161310698</v>
      </c>
    </row>
    <row r="9" spans="1:16">
      <c r="A9" s="16"/>
      <c r="B9" s="16"/>
      <c r="C9" t="s">
        <v>34</v>
      </c>
      <c r="D9" t="s">
        <v>18</v>
      </c>
      <c r="E9">
        <v>38.03</v>
      </c>
      <c r="F9">
        <v>104.407280372534</v>
      </c>
      <c r="G9">
        <v>2.7858324366674299</v>
      </c>
      <c r="H9">
        <v>9.2622229752728096</v>
      </c>
      <c r="I9">
        <v>2.45814826260301</v>
      </c>
      <c r="J9">
        <v>2.45814826260301</v>
      </c>
      <c r="K9">
        <v>2.5709112624637598</v>
      </c>
      <c r="L9">
        <v>2.78019010402569</v>
      </c>
      <c r="M9">
        <v>5.1474724542137604</v>
      </c>
      <c r="N9">
        <v>7.1890717506608697</v>
      </c>
      <c r="O9">
        <v>3.42733354305927</v>
      </c>
      <c r="P9">
        <v>3.4223879282108198</v>
      </c>
    </row>
    <row r="10" spans="1:16">
      <c r="A10" s="16"/>
      <c r="B10" s="16"/>
      <c r="C10" t="s">
        <v>35</v>
      </c>
      <c r="D10" t="s">
        <v>18</v>
      </c>
      <c r="E10">
        <v>36.090000000000003</v>
      </c>
      <c r="F10">
        <v>105.059205772312</v>
      </c>
      <c r="G10">
        <v>16.819451981788198</v>
      </c>
      <c r="H10">
        <v>27.944244055669799</v>
      </c>
      <c r="I10">
        <v>3.0108769539346301</v>
      </c>
      <c r="J10">
        <v>3.0108769539346301</v>
      </c>
      <c r="K10">
        <v>2.5522934116674998</v>
      </c>
      <c r="L10">
        <v>2.9846108840468801</v>
      </c>
      <c r="M10">
        <v>4.3188735431105503</v>
      </c>
      <c r="N10">
        <v>5.09080812233789</v>
      </c>
      <c r="O10">
        <v>3.40250410299031</v>
      </c>
      <c r="P10">
        <v>3.3998377282662</v>
      </c>
    </row>
    <row r="11" spans="1:16">
      <c r="A11" s="16"/>
      <c r="B11" t="s">
        <v>21</v>
      </c>
      <c r="C11" t="s">
        <v>17</v>
      </c>
      <c r="D11" t="s">
        <v>18</v>
      </c>
      <c r="E11">
        <v>83.6</v>
      </c>
      <c r="F11">
        <v>112.048285407485</v>
      </c>
      <c r="G11">
        <v>46.213674875259997</v>
      </c>
      <c r="H11">
        <v>31.387058015134599</v>
      </c>
      <c r="I11">
        <v>2.4511597261822802</v>
      </c>
      <c r="J11">
        <v>2.4511597261822802</v>
      </c>
      <c r="K11">
        <v>2.5194504975455199</v>
      </c>
      <c r="L11">
        <v>6.4077973568264897</v>
      </c>
      <c r="M11">
        <v>5.1294197379694504</v>
      </c>
      <c r="N11">
        <v>6.5381506153286599</v>
      </c>
      <c r="O11">
        <v>3.3587041136251501</v>
      </c>
      <c r="P11">
        <v>3.3542719032661901</v>
      </c>
    </row>
    <row r="12" spans="1:16">
      <c r="A12" s="16"/>
      <c r="C12" t="s">
        <v>30</v>
      </c>
      <c r="D12" t="s">
        <v>19</v>
      </c>
      <c r="E12">
        <v>102.7</v>
      </c>
      <c r="F12" t="s">
        <v>44</v>
      </c>
    </row>
    <row r="13" spans="1:16">
      <c r="A13" s="16"/>
      <c r="C13" t="s">
        <v>36</v>
      </c>
      <c r="D13" t="s">
        <v>18</v>
      </c>
      <c r="E13">
        <v>59.31</v>
      </c>
      <c r="F13">
        <v>109.245860407103</v>
      </c>
      <c r="G13">
        <v>15.6941142870705</v>
      </c>
      <c r="H13">
        <v>26.526560081173798</v>
      </c>
      <c r="I13">
        <v>2.4846330243168002</v>
      </c>
      <c r="J13">
        <v>2.4846330243168002</v>
      </c>
      <c r="K13">
        <v>2.60248709779676</v>
      </c>
      <c r="L13">
        <v>2.7043307202790499</v>
      </c>
      <c r="M13">
        <v>3.31227151464023</v>
      </c>
      <c r="N13">
        <v>6.6166611161846403</v>
      </c>
      <c r="O13">
        <v>3.4694447043554502</v>
      </c>
      <c r="P13">
        <v>3.4</v>
      </c>
    </row>
    <row r="14" spans="1:16">
      <c r="A14" s="16"/>
      <c r="C14" t="s">
        <v>37</v>
      </c>
      <c r="D14" t="s">
        <v>18</v>
      </c>
      <c r="E14">
        <v>36.92</v>
      </c>
      <c r="F14">
        <v>105.665050443648</v>
      </c>
      <c r="G14">
        <v>1.83639484194667</v>
      </c>
      <c r="H14">
        <v>21.317328796101901</v>
      </c>
      <c r="I14">
        <v>3.2662798357771501</v>
      </c>
      <c r="J14">
        <v>3.2662798357771501</v>
      </c>
      <c r="K14">
        <v>4.7257280560114099</v>
      </c>
      <c r="L14">
        <v>6.53248371744092</v>
      </c>
      <c r="M14">
        <v>5.1254024132286196</v>
      </c>
      <c r="N14">
        <v>6.63819817835821</v>
      </c>
      <c r="O14">
        <v>2.31159127797405</v>
      </c>
      <c r="P14">
        <v>2.6541866031189398</v>
      </c>
    </row>
    <row r="15" spans="1:16">
      <c r="A15" s="16"/>
      <c r="B15" t="s">
        <v>23</v>
      </c>
      <c r="C15" t="s">
        <v>17</v>
      </c>
      <c r="D15" t="s">
        <v>19</v>
      </c>
      <c r="E15">
        <v>72.88</v>
      </c>
      <c r="F15">
        <v>130.63716058305801</v>
      </c>
      <c r="G15">
        <v>7.4548840767586899</v>
      </c>
      <c r="H15">
        <v>15.4695084852466</v>
      </c>
      <c r="I15">
        <v>3.511677152821</v>
      </c>
      <c r="J15">
        <v>12.017652392708699</v>
      </c>
      <c r="K15">
        <v>5.3123005943362296</v>
      </c>
      <c r="L15">
        <v>5.3123005943362296</v>
      </c>
      <c r="M15">
        <v>1.7664223505379399</v>
      </c>
      <c r="N15">
        <v>1.7064631014053699</v>
      </c>
      <c r="O15">
        <v>1.7976139432757601</v>
      </c>
      <c r="P15">
        <v>1.7976139432757601</v>
      </c>
    </row>
    <row r="16" spans="1:16">
      <c r="A16" s="16"/>
      <c r="C16" t="s">
        <v>36</v>
      </c>
      <c r="D16" t="s">
        <v>18</v>
      </c>
      <c r="E16">
        <v>74.8</v>
      </c>
      <c r="F16">
        <v>116.783518327827</v>
      </c>
      <c r="G16">
        <v>0.90109377676087798</v>
      </c>
      <c r="H16">
        <v>27.166434464678801</v>
      </c>
      <c r="I16">
        <v>3.11507536441332</v>
      </c>
      <c r="J16">
        <v>13.7070987198247</v>
      </c>
      <c r="K16">
        <v>3.12667876979038</v>
      </c>
      <c r="L16">
        <v>24.350987672179599</v>
      </c>
      <c r="M16">
        <v>2.8752224077431601</v>
      </c>
      <c r="N16">
        <v>6.2491614758341196</v>
      </c>
      <c r="O16">
        <v>2.85372279494467</v>
      </c>
      <c r="P16">
        <v>2.8844881199994399</v>
      </c>
    </row>
    <row r="17" spans="1:16">
      <c r="A17" s="16"/>
      <c r="C17" t="s">
        <v>37</v>
      </c>
      <c r="D17" t="s">
        <v>18</v>
      </c>
      <c r="E17">
        <v>82.48</v>
      </c>
      <c r="F17">
        <v>114.669616204173</v>
      </c>
      <c r="G17">
        <v>0.53157011456233405</v>
      </c>
      <c r="H17">
        <v>7.6440344155678597</v>
      </c>
      <c r="I17">
        <v>2.4538293517445502</v>
      </c>
      <c r="J17">
        <v>2.4538293517445502</v>
      </c>
      <c r="K17">
        <v>2.4972780380705899</v>
      </c>
      <c r="L17">
        <v>2.4972780380705899</v>
      </c>
      <c r="M17">
        <v>3.2711923176462698</v>
      </c>
      <c r="N17">
        <v>6.5343988647474598</v>
      </c>
      <c r="O17">
        <v>3.32913482795959</v>
      </c>
      <c r="P17">
        <v>3.7638142208359602</v>
      </c>
    </row>
    <row r="18" spans="1:16">
      <c r="A18" s="16"/>
      <c r="C18" t="s">
        <v>38</v>
      </c>
      <c r="D18" t="s">
        <v>18</v>
      </c>
      <c r="E18">
        <v>96.4</v>
      </c>
      <c r="F18">
        <v>120.61929868496701</v>
      </c>
      <c r="G18">
        <v>5.6591266815818601E-2</v>
      </c>
      <c r="H18">
        <v>11.958662782605201</v>
      </c>
      <c r="I18">
        <v>2.8058147743033701</v>
      </c>
      <c r="J18">
        <v>2.8058147743033701</v>
      </c>
      <c r="K18">
        <v>2.4678677464647301</v>
      </c>
      <c r="L18">
        <v>2.4678677464647301</v>
      </c>
      <c r="M18">
        <v>2.1573375461723701</v>
      </c>
      <c r="N18">
        <v>4.9814481275614204</v>
      </c>
      <c r="O18">
        <v>3.2899135873196301</v>
      </c>
      <c r="P18">
        <v>3.2899135873196301</v>
      </c>
    </row>
    <row r="19" spans="1:16">
      <c r="A19" s="16"/>
      <c r="B19" t="s">
        <v>24</v>
      </c>
      <c r="C19" t="s">
        <v>17</v>
      </c>
      <c r="D19" t="s">
        <v>19</v>
      </c>
      <c r="E19">
        <v>117.43</v>
      </c>
      <c r="F19">
        <v>129.968557929382</v>
      </c>
      <c r="G19">
        <v>0.1</v>
      </c>
      <c r="H19">
        <v>26.3726624461843</v>
      </c>
      <c r="I19">
        <v>2.4489297881585301</v>
      </c>
      <c r="J19">
        <v>2.4489297881585301</v>
      </c>
      <c r="K19">
        <v>3.43473947282176</v>
      </c>
      <c r="L19">
        <v>3.43473947282176</v>
      </c>
      <c r="M19">
        <v>3.2646584030669001</v>
      </c>
      <c r="N19">
        <v>6.5213152175548901</v>
      </c>
      <c r="O19">
        <v>2.3262128762868302</v>
      </c>
      <c r="P19">
        <v>2.3262128762868302</v>
      </c>
    </row>
    <row r="20" spans="1:16">
      <c r="A20" s="16"/>
      <c r="C20" t="s">
        <v>20</v>
      </c>
      <c r="D20" t="s">
        <v>18</v>
      </c>
      <c r="E20">
        <v>117.25</v>
      </c>
      <c r="F20">
        <v>115.032287870517</v>
      </c>
      <c r="G20">
        <v>12.4848056817582</v>
      </c>
      <c r="H20">
        <v>16.967844620147599</v>
      </c>
      <c r="I20">
        <v>3.9304253048516999</v>
      </c>
      <c r="J20">
        <v>3.9304253048516999</v>
      </c>
      <c r="K20">
        <v>2.40478376932395</v>
      </c>
      <c r="L20">
        <v>2.7406766280486501</v>
      </c>
      <c r="M20">
        <v>0.74451178053371603</v>
      </c>
      <c r="N20">
        <v>3.7199053308288699</v>
      </c>
      <c r="O20">
        <v>3.2057871895331198</v>
      </c>
      <c r="P20">
        <v>3.1649870953695798</v>
      </c>
    </row>
    <row r="21" spans="1:16">
      <c r="A21" s="16"/>
      <c r="C21" t="s">
        <v>38</v>
      </c>
      <c r="D21" t="s">
        <v>18</v>
      </c>
      <c r="E21">
        <v>44.31</v>
      </c>
      <c r="F21">
        <v>106.820101315278</v>
      </c>
      <c r="G21">
        <v>1.1006620286667499</v>
      </c>
      <c r="H21">
        <v>9.7824634085934008</v>
      </c>
      <c r="I21">
        <v>5.7507119929474797</v>
      </c>
      <c r="J21">
        <v>20.20668148751</v>
      </c>
      <c r="K21">
        <v>3.8416954337117901</v>
      </c>
      <c r="L21">
        <v>20.924900010376799</v>
      </c>
      <c r="M21">
        <v>2.56310008390808</v>
      </c>
      <c r="N21">
        <v>5.1541904623670103</v>
      </c>
      <c r="O21">
        <v>2.66376506983885</v>
      </c>
      <c r="P21">
        <v>2.5816544326891999</v>
      </c>
    </row>
    <row r="22" spans="1:16">
      <c r="A22" s="16"/>
      <c r="C22" t="s">
        <v>39</v>
      </c>
      <c r="D22" t="s">
        <v>19</v>
      </c>
      <c r="E22">
        <v>52.01</v>
      </c>
      <c r="F22">
        <v>139.91537497351999</v>
      </c>
      <c r="G22">
        <v>0.1</v>
      </c>
      <c r="H22">
        <v>0.1</v>
      </c>
      <c r="I22">
        <v>3.4341236895303902</v>
      </c>
      <c r="J22">
        <v>3.4341236895303902</v>
      </c>
      <c r="K22">
        <v>3.4341236895306002</v>
      </c>
      <c r="L22">
        <v>3.4341236895306002</v>
      </c>
      <c r="M22">
        <v>2.4241409514994401</v>
      </c>
      <c r="N22">
        <v>2.4241409514994401</v>
      </c>
      <c r="O22">
        <v>2.42414095149929</v>
      </c>
      <c r="P22">
        <v>2.42414095149929</v>
      </c>
    </row>
    <row r="23" spans="1:16">
      <c r="A23" s="16"/>
      <c r="B23" t="s">
        <v>26</v>
      </c>
      <c r="C23" t="s">
        <v>17</v>
      </c>
      <c r="D23" t="s">
        <v>19</v>
      </c>
      <c r="E23">
        <v>61.45</v>
      </c>
      <c r="F23">
        <v>115.429611456873</v>
      </c>
      <c r="G23">
        <v>12.612696837282201</v>
      </c>
      <c r="H23">
        <v>42.026556620600097</v>
      </c>
      <c r="I23">
        <v>2.7691052874151501</v>
      </c>
      <c r="J23">
        <v>57.818163411798501</v>
      </c>
      <c r="K23">
        <v>3.7210194054213201</v>
      </c>
      <c r="L23">
        <v>10.6634167703752</v>
      </c>
      <c r="M23">
        <v>4.1165017940695998</v>
      </c>
      <c r="N23">
        <v>7.4676884063158298</v>
      </c>
      <c r="O23">
        <v>2.8067060129700798</v>
      </c>
      <c r="P23">
        <v>3.0437648074269199</v>
      </c>
    </row>
    <row r="24" spans="1:16">
      <c r="A24" s="16"/>
      <c r="C24" t="s">
        <v>20</v>
      </c>
      <c r="D24" t="s">
        <v>18</v>
      </c>
      <c r="E24">
        <v>61.35</v>
      </c>
      <c r="F24">
        <v>107.198401200598</v>
      </c>
      <c r="G24">
        <v>1.49727920094855</v>
      </c>
      <c r="H24">
        <v>14.7329862987608</v>
      </c>
      <c r="I24">
        <v>2.4563440669079499</v>
      </c>
      <c r="J24">
        <v>2.4563440669079499</v>
      </c>
      <c r="K24">
        <v>2.4787957522173398</v>
      </c>
      <c r="L24">
        <v>2.54807035548634</v>
      </c>
      <c r="M24">
        <v>3.2745458735978401</v>
      </c>
      <c r="N24">
        <v>6.54111416975657</v>
      </c>
      <c r="O24">
        <v>3.3044869959202798</v>
      </c>
      <c r="P24">
        <v>3.2944437750152602</v>
      </c>
    </row>
    <row r="25" spans="1:16">
      <c r="A25" s="16"/>
      <c r="C25" t="s">
        <v>40</v>
      </c>
      <c r="D25" t="s">
        <v>19</v>
      </c>
      <c r="E25">
        <v>65.63</v>
      </c>
      <c r="F25">
        <v>122.64804927616601</v>
      </c>
      <c r="G25">
        <v>2.04639221620676</v>
      </c>
      <c r="H25">
        <v>36.155867128015799</v>
      </c>
      <c r="I25">
        <v>3.4716440769815899</v>
      </c>
      <c r="J25">
        <v>3.4716440769815899</v>
      </c>
      <c r="K25">
        <v>3.5338372522905002</v>
      </c>
      <c r="L25">
        <v>17.4447210069489</v>
      </c>
      <c r="M25">
        <v>2.4411984372345601</v>
      </c>
      <c r="N25">
        <v>5.1874329342553702</v>
      </c>
      <c r="O25">
        <v>2.48544940446045</v>
      </c>
      <c r="P25">
        <v>2.36806317841548</v>
      </c>
    </row>
    <row r="26" spans="1:16">
      <c r="A26" s="16"/>
      <c r="C26" t="s">
        <v>36</v>
      </c>
      <c r="D26" t="s">
        <v>18</v>
      </c>
      <c r="E26">
        <v>85.64</v>
      </c>
      <c r="F26">
        <v>109.657665001166</v>
      </c>
      <c r="G26">
        <v>0.361824232857057</v>
      </c>
      <c r="H26">
        <v>1.28817746509942</v>
      </c>
      <c r="I26">
        <v>2.4638138075294602</v>
      </c>
      <c r="J26">
        <v>2.4638138075294602</v>
      </c>
      <c r="K26">
        <v>3.7374764509415401</v>
      </c>
      <c r="L26">
        <v>3.7374764509415401</v>
      </c>
      <c r="M26">
        <v>3.2845073388608501</v>
      </c>
      <c r="N26">
        <v>6.56106173562622</v>
      </c>
      <c r="O26">
        <v>2.61516656668651</v>
      </c>
      <c r="P26">
        <v>2.61516656668651</v>
      </c>
    </row>
    <row r="27" spans="1:16">
      <c r="A27" s="16"/>
      <c r="B27" t="s">
        <v>41</v>
      </c>
      <c r="C27" t="s">
        <v>17</v>
      </c>
      <c r="D27" t="s">
        <v>18</v>
      </c>
      <c r="E27">
        <v>39.08</v>
      </c>
      <c r="F27">
        <v>105.584988260575</v>
      </c>
      <c r="G27">
        <v>2.2018513450091102</v>
      </c>
      <c r="H27">
        <v>101.00325478500601</v>
      </c>
      <c r="I27">
        <v>2.9908251589686801</v>
      </c>
      <c r="J27">
        <v>2.9908251589686801</v>
      </c>
      <c r="K27">
        <v>3.7302702726132799</v>
      </c>
      <c r="L27">
        <v>11.4382021282404</v>
      </c>
      <c r="M27">
        <v>3.7864606399655898</v>
      </c>
      <c r="N27">
        <v>5.4110071499738899</v>
      </c>
      <c r="O27">
        <v>1.1672154634668399</v>
      </c>
      <c r="P27">
        <v>1.1374488139874199</v>
      </c>
    </row>
    <row r="28" spans="1:16">
      <c r="A28" s="16"/>
      <c r="C28" t="s">
        <v>42</v>
      </c>
      <c r="D28" t="s">
        <v>19</v>
      </c>
      <c r="E28">
        <v>48.65</v>
      </c>
      <c r="F28">
        <v>114.74485012614601</v>
      </c>
      <c r="G28">
        <v>1.7207675238922</v>
      </c>
      <c r="H28">
        <v>23.895302337926299</v>
      </c>
      <c r="I28">
        <v>3.43486264338063</v>
      </c>
      <c r="J28">
        <v>61.824834820597097</v>
      </c>
      <c r="K28">
        <v>4.1540234290533604</v>
      </c>
      <c r="L28">
        <v>31.982190078829401</v>
      </c>
      <c r="M28">
        <v>2.99890289155385</v>
      </c>
      <c r="N28">
        <v>6.0340424343735304</v>
      </c>
      <c r="O28">
        <v>1.8074698827725</v>
      </c>
      <c r="P28">
        <v>1.72707758313225</v>
      </c>
    </row>
    <row r="29" spans="1:16">
      <c r="A29" s="16"/>
      <c r="C29" t="s">
        <v>43</v>
      </c>
      <c r="D29" t="s">
        <v>19</v>
      </c>
      <c r="E29">
        <v>53.02</v>
      </c>
      <c r="F29">
        <v>121.685216679221</v>
      </c>
      <c r="G29">
        <v>1.85359854749373</v>
      </c>
      <c r="H29">
        <v>29.8032633236379</v>
      </c>
      <c r="I29">
        <v>3.4265345827822702</v>
      </c>
      <c r="J29">
        <v>34.020791790140201</v>
      </c>
      <c r="K29">
        <v>3.3274225227023901</v>
      </c>
      <c r="L29">
        <v>19.775462706614</v>
      </c>
      <c r="M29">
        <v>3.7521669275767602</v>
      </c>
      <c r="N29">
        <v>5.4041772288318901</v>
      </c>
      <c r="O29">
        <v>2.1813906897514199</v>
      </c>
      <c r="P29">
        <v>2.1002206516650599</v>
      </c>
    </row>
    <row r="30" spans="1:16">
      <c r="D30" t="s">
        <v>18</v>
      </c>
      <c r="G30">
        <v>5.7568775854602023</v>
      </c>
      <c r="H30">
        <v>18.356805184219521</v>
      </c>
      <c r="I30">
        <v>2.9104222773308224</v>
      </c>
      <c r="J30">
        <v>5.829223809086181</v>
      </c>
      <c r="K30">
        <v>2.9300898165635605</v>
      </c>
      <c r="L30">
        <v>6.1716057820166927</v>
      </c>
      <c r="M30">
        <v>3.3977917677294807</v>
      </c>
      <c r="N30">
        <v>5.9274144446200854</v>
      </c>
      <c r="O30">
        <v>3.0013691469501707</v>
      </c>
      <c r="P30">
        <v>3.0305597764832832</v>
      </c>
    </row>
    <row r="31" spans="1:16">
      <c r="D31" t="s">
        <v>19</v>
      </c>
      <c r="G31">
        <v>3.5114560165781219</v>
      </c>
      <c r="H31">
        <v>30.228203902184003</v>
      </c>
      <c r="I31">
        <v>3.3757290815432026</v>
      </c>
      <c r="J31">
        <v>30.4644170610899</v>
      </c>
      <c r="K31">
        <v>3.3105201687739454</v>
      </c>
      <c r="L31">
        <v>7.2901895986612057</v>
      </c>
      <c r="M31">
        <v>3.1293995025059176</v>
      </c>
      <c r="N31">
        <v>4.8821556363285721</v>
      </c>
      <c r="O31">
        <v>2.6221624470285998</v>
      </c>
      <c r="P31">
        <v>2.6130661622437001</v>
      </c>
    </row>
  </sheetData>
  <mergeCells count="2">
    <mergeCell ref="A2:A29"/>
    <mergeCell ref="B2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PostFinalFix</vt:lpstr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2025-08-11T01:48:33Z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