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PostFinalFix" sheetId="1" state="visible" r:id="rId1"/>
    <sheet xmlns:r="http://schemas.openxmlformats.org/officeDocument/2006/relationships" name="FinalTabl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charset val="134"/>
      <color theme="1"/>
      <sz val="11"/>
      <scheme val="minor"/>
    </font>
    <font>
      <name val="Calibri"/>
      <charset val="134"/>
      <sz val="8"/>
      <scheme val="minor"/>
    </font>
  </fonts>
  <fills count="4">
    <fill>
      <patternFill/>
    </fill>
    <fill>
      <patternFill patternType="gray125"/>
    </fill>
    <fill>
      <patternFill patternType="solid">
        <fgColor theme="9" tint="0.7999511703848384"/>
        <bgColor indexed="64"/>
      </patternFill>
    </fill>
    <fill>
      <patternFill patternType="solid">
        <fgColor theme="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64" fontId="0" fillId="0" borderId="0" pivotButton="0" quotePrefix="0" xfId="0"/>
    <xf numFmtId="0" fontId="0" fillId="2" borderId="0" pivotButton="0" quotePrefix="0" xfId="0"/>
    <xf numFmtId="2" fontId="0" fillId="0" borderId="0" pivotButton="0" quotePrefix="0" xfId="0"/>
    <xf numFmtId="0" fontId="0" fillId="0" borderId="1" pivotButton="0" quotePrefix="0" xfId="0"/>
    <xf numFmtId="0" fontId="0" fillId="2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4" fontId="0" fillId="0" borderId="1" pivotButton="0" quotePrefix="0" xfId="0"/>
    <xf numFmtId="164" fontId="0" fillId="2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38"/>
  <sheetViews>
    <sheetView tabSelected="1" topLeftCell="A4" zoomScale="81" zoomScaleNormal="145" workbookViewId="0">
      <selection activeCell="H27" sqref="H27"/>
    </sheetView>
  </sheetViews>
  <sheetFormatPr baseColWidth="8" defaultColWidth="9" defaultRowHeight="14.5"/>
  <cols>
    <col width="9.26953125" customWidth="1" min="1" max="1"/>
    <col width="6.26953125" customWidth="1" min="5" max="5"/>
    <col width="5.81640625" customWidth="1" min="6" max="6"/>
    <col width="11.1796875" customWidth="1" min="7" max="7"/>
    <col width="8.1796875" customWidth="1" min="8" max="8"/>
    <col width="13.81640625" customWidth="1" min="9" max="9"/>
    <col width="9.26953125" customWidth="1" style="4" min="10" max="10"/>
    <col width="14" customWidth="1" min="11" max="11"/>
    <col width="8.7265625" customWidth="1" style="4" min="12" max="12"/>
    <col width="13.7265625" customWidth="1" min="13" max="13"/>
    <col width="8.7265625" customWidth="1" style="4" min="14" max="14"/>
    <col width="13.7265625" customWidth="1" min="15" max="15"/>
    <col width="8.7265625" customWidth="1" style="4" min="16" max="16"/>
    <col width="12" bestFit="1" customWidth="1" min="18" max="19"/>
  </cols>
  <sheetData>
    <row r="1">
      <c r="A1" s="6" t="inlineStr">
        <is>
          <t>Freq.</t>
        </is>
      </c>
      <c r="B1" s="6" t="inlineStr">
        <is>
          <t>TX</t>
        </is>
      </c>
      <c r="C1" s="6" t="inlineStr">
        <is>
          <t>RX</t>
        </is>
      </c>
      <c r="D1" s="6" t="inlineStr">
        <is>
          <t>Loc Type</t>
        </is>
      </c>
      <c r="E1" s="6" t="inlineStr">
        <is>
          <t>TR Sep</t>
        </is>
      </c>
      <c r="F1" s="6" t="inlineStr">
        <is>
          <t>PL</t>
        </is>
      </c>
      <c r="G1" s="6" t="inlineStr">
        <is>
          <t>Mean Dir DS</t>
        </is>
      </c>
      <c r="H1" s="6" t="inlineStr">
        <is>
          <t>Omni DS</t>
        </is>
      </c>
      <c r="I1" s="6" t="inlineStr">
        <is>
          <t>Mean Lobe ASA</t>
        </is>
      </c>
      <c r="J1" s="7" t="inlineStr">
        <is>
          <t>Omni ASA</t>
        </is>
      </c>
      <c r="K1" s="6" t="inlineStr">
        <is>
          <t>Mean Lobe ASD</t>
        </is>
      </c>
      <c r="L1" s="7" t="inlineStr">
        <is>
          <t>Omni ASD</t>
        </is>
      </c>
      <c r="M1" s="6" t="inlineStr">
        <is>
          <t>Mean Lobe ZSA</t>
        </is>
      </c>
      <c r="N1" s="7" t="inlineStr">
        <is>
          <t>Omni ZSA</t>
        </is>
      </c>
      <c r="O1" s="6" t="inlineStr">
        <is>
          <t>Mean Lobe ZSD</t>
        </is>
      </c>
      <c r="P1" s="7" t="inlineStr">
        <is>
          <t>Omni ZSD</t>
        </is>
      </c>
      <c r="R1" s="4" t="inlineStr">
        <is>
          <t>Dir DS</t>
        </is>
      </c>
      <c r="S1" t="inlineStr">
        <is>
          <t>Omni DS</t>
        </is>
      </c>
      <c r="T1" t="inlineStr">
        <is>
          <t>Lobe ASA</t>
        </is>
      </c>
      <c r="U1" s="4" t="inlineStr">
        <is>
          <t>Omni ASA</t>
        </is>
      </c>
      <c r="V1" t="inlineStr">
        <is>
          <t>Mean Lobe ASD</t>
        </is>
      </c>
      <c r="W1" s="4" t="inlineStr">
        <is>
          <t>Omni ASD</t>
        </is>
      </c>
      <c r="X1" t="inlineStr">
        <is>
          <t>Mean Lobe ZSA</t>
        </is>
      </c>
      <c r="Y1" s="4" t="inlineStr">
        <is>
          <t>Omni ZSA</t>
        </is>
      </c>
      <c r="Z1" t="inlineStr">
        <is>
          <t>Mean Lobe ZSD</t>
        </is>
      </c>
      <c r="AA1" s="4" t="inlineStr">
        <is>
          <t>Omni ZSD</t>
        </is>
      </c>
      <c r="AC1" s="4" t="inlineStr">
        <is>
          <t>Dir DS</t>
        </is>
      </c>
      <c r="AD1" t="inlineStr">
        <is>
          <t>Omni DS</t>
        </is>
      </c>
      <c r="AE1" t="inlineStr">
        <is>
          <t>Lobe ASA</t>
        </is>
      </c>
      <c r="AF1" s="4" t="inlineStr">
        <is>
          <t>Omni ASA</t>
        </is>
      </c>
      <c r="AG1" t="inlineStr">
        <is>
          <t>Mean Lobe ASD</t>
        </is>
      </c>
      <c r="AH1" s="4" t="inlineStr">
        <is>
          <t>Omni ASD</t>
        </is>
      </c>
      <c r="AI1" t="inlineStr">
        <is>
          <t>Mean Lobe ZSA</t>
        </is>
      </c>
      <c r="AJ1" s="4" t="inlineStr">
        <is>
          <t>Omni ZSA</t>
        </is>
      </c>
      <c r="AK1" t="inlineStr">
        <is>
          <t>Mean Lobe ZSD</t>
        </is>
      </c>
      <c r="AL1" s="4" t="inlineStr">
        <is>
          <t>Omni ZSD</t>
        </is>
      </c>
    </row>
    <row r="2">
      <c r="A2" s="14" t="inlineStr">
        <is>
          <t>142 GHz</t>
        </is>
      </c>
      <c r="B2" s="13" t="inlineStr">
        <is>
          <t>TX1</t>
        </is>
      </c>
      <c r="C2" s="6" t="inlineStr">
        <is>
          <t>RX1</t>
        </is>
      </c>
      <c r="D2" s="6" t="inlineStr">
        <is>
          <t>LOS</t>
        </is>
      </c>
      <c r="E2" s="6" t="n">
        <v>24.43</v>
      </c>
      <c r="F2" s="6" t="n">
        <v>102.64</v>
      </c>
      <c r="G2" s="10" t="n">
        <v>50.8465792520663</v>
      </c>
      <c r="H2" s="10" t="n">
        <v>7.49</v>
      </c>
      <c r="I2" s="10" t="n">
        <v>2.2979407466636</v>
      </c>
      <c r="J2" s="11" t="n">
        <v>3.26</v>
      </c>
      <c r="K2" s="10" t="n">
        <v>2.75871611619607</v>
      </c>
      <c r="L2" s="11" t="n">
        <v>3.26</v>
      </c>
      <c r="M2" s="10" t="n">
        <v>3.06369939601049</v>
      </c>
      <c r="N2" s="11" t="n">
        <v>5.43263658146136</v>
      </c>
      <c r="O2" s="10" t="n">
        <v>3.19306055238894</v>
      </c>
      <c r="P2" s="11" t="n">
        <v>3.34161733258952</v>
      </c>
      <c r="R2">
        <f>LOG10(G2)</f>
        <v/>
      </c>
      <c r="S2">
        <f>LOG10(H2)</f>
        <v/>
      </c>
      <c r="T2">
        <f>LOG10(I2)</f>
        <v/>
      </c>
      <c r="U2">
        <f>LOG10(J2)</f>
        <v/>
      </c>
      <c r="V2">
        <f>LOG10(K2)</f>
        <v/>
      </c>
      <c r="W2">
        <f>LOG10(L2)</f>
        <v/>
      </c>
      <c r="X2">
        <f>LOG10(M2)</f>
        <v/>
      </c>
      <c r="Y2">
        <f>LOG10(N2)</f>
        <v/>
      </c>
      <c r="Z2">
        <f>LOG10(O2)</f>
        <v/>
      </c>
      <c r="AA2">
        <f>LOG10(P2)</f>
        <v/>
      </c>
    </row>
    <row r="3">
      <c r="A3" s="17" t="n"/>
      <c r="B3" s="17" t="n"/>
      <c r="C3" s="6" t="inlineStr">
        <is>
          <t>RX5</t>
        </is>
      </c>
      <c r="D3" s="6" t="inlineStr">
        <is>
          <t>LOS</t>
        </is>
      </c>
      <c r="E3" s="6" t="n">
        <v>27.22</v>
      </c>
      <c r="F3" s="6" t="n">
        <v>102.14</v>
      </c>
      <c r="G3" s="10" t="n">
        <v>0.0355102592630813</v>
      </c>
      <c r="H3" s="10" t="n">
        <v>3.19</v>
      </c>
      <c r="I3" s="10" t="n">
        <v>2.48883745212164</v>
      </c>
      <c r="J3" s="11" t="n">
        <v>3.26</v>
      </c>
      <c r="K3" s="10" t="n">
        <v>2.47915965125502</v>
      </c>
      <c r="L3" s="11" t="n">
        <v>3.26</v>
      </c>
      <c r="M3" s="10" t="n">
        <v>3.31787850347805</v>
      </c>
      <c r="N3" s="11" t="n">
        <v>6.62788986283275</v>
      </c>
      <c r="O3" s="10" t="n">
        <v>3.3049722868925</v>
      </c>
      <c r="P3" s="11" t="n">
        <v>3.41543325353394</v>
      </c>
      <c r="R3">
        <f>LOG10(G3)</f>
        <v/>
      </c>
      <c r="S3">
        <f>LOG10(H3)</f>
        <v/>
      </c>
      <c r="T3">
        <f>LOG10(I3)</f>
        <v/>
      </c>
      <c r="U3">
        <f>LOG10(J3)</f>
        <v/>
      </c>
      <c r="V3">
        <f>LOG10(K3)</f>
        <v/>
      </c>
      <c r="W3">
        <f>LOG10(L3)</f>
        <v/>
      </c>
      <c r="X3">
        <f>LOG10(M3)</f>
        <v/>
      </c>
      <c r="Y3">
        <f>LOG10(N3)</f>
        <v/>
      </c>
      <c r="Z3">
        <f>LOG10(O3)</f>
        <v/>
      </c>
      <c r="AA3">
        <f>LOG10(P3)</f>
        <v/>
      </c>
    </row>
    <row r="4">
      <c r="A4" s="17" t="n"/>
      <c r="B4" s="17" t="n"/>
      <c r="C4" s="6" t="inlineStr">
        <is>
          <t>RX9</t>
        </is>
      </c>
      <c r="D4" s="6" t="inlineStr">
        <is>
          <t>NLOS</t>
        </is>
      </c>
      <c r="E4" s="6" t="n">
        <v>32.65</v>
      </c>
      <c r="F4" s="6" t="n">
        <v>126.45</v>
      </c>
      <c r="G4" s="10" t="n">
        <v>9.005973957235961</v>
      </c>
      <c r="H4" s="10" t="n">
        <v>19.78</v>
      </c>
      <c r="I4" s="10" t="n">
        <v>3.94917602759616</v>
      </c>
      <c r="J4" s="11" t="n">
        <v>70.84999999999999</v>
      </c>
      <c r="K4" s="10" t="n">
        <v>2.54561432261505</v>
      </c>
      <c r="L4" s="11" t="n">
        <v>3.26</v>
      </c>
      <c r="M4" s="10" t="n">
        <v>3.6580449753899</v>
      </c>
      <c r="N4" s="11" t="n">
        <v>6.2705355371728</v>
      </c>
      <c r="O4" s="10" t="n">
        <v>3.39359667913791</v>
      </c>
      <c r="P4" s="11" t="n">
        <v>3.39359667913791</v>
      </c>
      <c r="R4">
        <f>LOG10(G4)</f>
        <v/>
      </c>
      <c r="S4">
        <f>LOG10(H4)</f>
        <v/>
      </c>
      <c r="T4">
        <f>LOG10(I4)</f>
        <v/>
      </c>
      <c r="U4">
        <f>LOG10(J4)</f>
        <v/>
      </c>
      <c r="V4">
        <f>LOG10(K4)</f>
        <v/>
      </c>
      <c r="W4">
        <f>LOG10(L4)</f>
        <v/>
      </c>
      <c r="X4">
        <f>LOG10(M4)</f>
        <v/>
      </c>
      <c r="Y4">
        <f>LOG10(N4)</f>
        <v/>
      </c>
      <c r="Z4">
        <f>LOG10(O4)</f>
        <v/>
      </c>
      <c r="AA4">
        <f>LOG10(P4)</f>
        <v/>
      </c>
    </row>
    <row r="5">
      <c r="A5" s="17" t="n"/>
      <c r="B5" s="17" t="n"/>
      <c r="C5" s="6" t="inlineStr">
        <is>
          <t>RX14</t>
        </is>
      </c>
      <c r="D5" s="6" t="inlineStr">
        <is>
          <t>NLOS</t>
        </is>
      </c>
      <c r="E5" s="6" t="n">
        <v>45.95</v>
      </c>
      <c r="F5" s="6" t="n">
        <v>129.69</v>
      </c>
      <c r="G5" s="10" t="n">
        <v>4.40296935375117</v>
      </c>
      <c r="H5" s="10" t="n">
        <v>13.07</v>
      </c>
      <c r="I5" s="10" t="n">
        <v>5.30235059122258</v>
      </c>
      <c r="J5" s="11" t="n">
        <v>54.87</v>
      </c>
      <c r="K5" s="10" t="n">
        <v>2.47530854074504</v>
      </c>
      <c r="L5" s="11" t="n">
        <v>3.26</v>
      </c>
      <c r="M5" s="10" t="n">
        <v>3.07999343362152</v>
      </c>
      <c r="N5" s="11" t="n">
        <v>5.30169222956744</v>
      </c>
      <c r="O5" s="10" t="n">
        <v>3.29983650049153</v>
      </c>
      <c r="P5" s="11" t="n">
        <v>3.29983650049153</v>
      </c>
      <c r="R5">
        <f>LOG10(G5)</f>
        <v/>
      </c>
      <c r="S5">
        <f>LOG10(H5)</f>
        <v/>
      </c>
      <c r="T5">
        <f>LOG10(I5)</f>
        <v/>
      </c>
      <c r="U5">
        <f>LOG10(J5)</f>
        <v/>
      </c>
      <c r="V5">
        <f>LOG10(K5)</f>
        <v/>
      </c>
      <c r="W5">
        <f>LOG10(L5)</f>
        <v/>
      </c>
      <c r="X5">
        <f>LOG10(M5)</f>
        <v/>
      </c>
      <c r="Y5">
        <f>LOG10(N5)</f>
        <v/>
      </c>
      <c r="Z5">
        <f>LOG10(O5)</f>
        <v/>
      </c>
      <c r="AA5">
        <f>LOG10(P5)</f>
        <v/>
      </c>
    </row>
    <row r="6">
      <c r="A6" s="17" t="n"/>
      <c r="B6" s="17" t="n"/>
      <c r="C6" s="6" t="inlineStr">
        <is>
          <t>RX16</t>
        </is>
      </c>
      <c r="D6" s="6" t="inlineStr">
        <is>
          <t>NLOS</t>
        </is>
      </c>
      <c r="E6" s="6" t="n">
        <v>49.4</v>
      </c>
      <c r="F6" s="6" t="n">
        <v>126.93</v>
      </c>
      <c r="G6" s="10" t="n">
        <v>6.19036849830236</v>
      </c>
      <c r="H6" s="10" t="n">
        <v>23.13</v>
      </c>
      <c r="I6" s="10" t="n">
        <v>2.58095469018327</v>
      </c>
      <c r="J6" s="11" t="n">
        <v>50.27</v>
      </c>
      <c r="K6" s="10" t="n">
        <v>2.58043654684879</v>
      </c>
      <c r="L6" s="11" t="n">
        <v>3.26</v>
      </c>
      <c r="M6" s="10" t="n">
        <v>4.89565019231413</v>
      </c>
      <c r="N6" s="11" t="n">
        <v>6.98421948786897</v>
      </c>
      <c r="O6" s="10" t="n">
        <v>3.4400368888646</v>
      </c>
      <c r="P6" s="11" t="n">
        <v>3.4237101012716</v>
      </c>
      <c r="R6">
        <f>LOG10(G6)</f>
        <v/>
      </c>
      <c r="S6">
        <f>LOG10(H6)</f>
        <v/>
      </c>
      <c r="T6">
        <f>LOG10(I6)</f>
        <v/>
      </c>
      <c r="U6">
        <f>LOG10(J6)</f>
        <v/>
      </c>
      <c r="V6">
        <f>LOG10(K6)</f>
        <v/>
      </c>
      <c r="W6">
        <f>LOG10(L6)</f>
        <v/>
      </c>
      <c r="X6">
        <f>LOG10(M6)</f>
        <v/>
      </c>
      <c r="Y6">
        <f>LOG10(N6)</f>
        <v/>
      </c>
      <c r="Z6">
        <f>LOG10(O6)</f>
        <v/>
      </c>
      <c r="AA6">
        <f>LOG10(P6)</f>
        <v/>
      </c>
    </row>
    <row r="7">
      <c r="A7" s="17" t="n"/>
      <c r="B7" s="17" t="n"/>
      <c r="C7" s="6" t="inlineStr">
        <is>
          <t>RX18</t>
        </is>
      </c>
      <c r="D7" s="6" t="inlineStr">
        <is>
          <t>NLOS</t>
        </is>
      </c>
      <c r="E7" s="6" t="n">
        <v>52.84</v>
      </c>
      <c r="F7" s="6" t="n">
        <v>136.94</v>
      </c>
      <c r="G7" s="10" t="n">
        <v>0.820888536254152</v>
      </c>
      <c r="H7" s="10" t="n">
        <v>56.47</v>
      </c>
      <c r="I7" s="10" t="n">
        <v>3.22832873820042</v>
      </c>
      <c r="J7" s="11" t="n">
        <v>41.8</v>
      </c>
      <c r="K7" s="10" t="n">
        <v>2.44892978816806</v>
      </c>
      <c r="L7" s="11" t="n">
        <v>9.1</v>
      </c>
      <c r="M7" s="10" t="n">
        <v>2.66214862822983</v>
      </c>
      <c r="N7" s="11" t="n">
        <v>2.63456130000146</v>
      </c>
      <c r="O7" s="10" t="n">
        <v>3.26465840307898</v>
      </c>
      <c r="P7" s="11" t="n">
        <v>3.26465840307898</v>
      </c>
      <c r="R7">
        <f>LOG10(G7)</f>
        <v/>
      </c>
      <c r="S7">
        <f>LOG10(H7)</f>
        <v/>
      </c>
      <c r="T7">
        <f>LOG10(I7)</f>
        <v/>
      </c>
      <c r="U7">
        <f>LOG10(J7)</f>
        <v/>
      </c>
      <c r="V7">
        <f>LOG10(K7)</f>
        <v/>
      </c>
      <c r="W7">
        <f>LOG10(L7)</f>
        <v/>
      </c>
      <c r="X7">
        <f>LOG10(M7)</f>
        <v/>
      </c>
      <c r="Y7">
        <f>LOG10(N7)</f>
        <v/>
      </c>
      <c r="Z7">
        <f>LOG10(O7)</f>
        <v/>
      </c>
      <c r="AA7">
        <f>LOG10(P7)</f>
        <v/>
      </c>
    </row>
    <row r="8">
      <c r="A8" s="17" t="n"/>
      <c r="B8" s="17" t="n"/>
      <c r="C8" s="6" t="inlineStr">
        <is>
          <t>RX23</t>
        </is>
      </c>
      <c r="D8" s="6" t="inlineStr">
        <is>
          <t>LOS</t>
        </is>
      </c>
      <c r="E8" s="6" t="n">
        <v>43.34</v>
      </c>
      <c r="F8" s="6" t="n">
        <v>110.83</v>
      </c>
      <c r="G8" s="10" t="n">
        <v>4.37322092387659</v>
      </c>
      <c r="H8" s="10" t="n">
        <v>22.04</v>
      </c>
      <c r="I8" s="10" t="n">
        <v>2.9650608376058</v>
      </c>
      <c r="J8" s="11" t="n">
        <v>52.03</v>
      </c>
      <c r="K8" s="10" t="n">
        <v>2.96887099656678</v>
      </c>
      <c r="L8" s="11" t="n">
        <v>5.41</v>
      </c>
      <c r="M8" s="10" t="n">
        <v>4.74666938477395</v>
      </c>
      <c r="N8" s="11" t="n">
        <v>6.14204263842792</v>
      </c>
      <c r="O8" s="10" t="n">
        <v>3.72198391307369</v>
      </c>
      <c r="P8" s="11" t="n">
        <v>3.35699551613107</v>
      </c>
      <c r="R8">
        <f>LOG10(G8)</f>
        <v/>
      </c>
      <c r="S8">
        <f>LOG10(H8)</f>
        <v/>
      </c>
      <c r="T8">
        <f>LOG10(I8)</f>
        <v/>
      </c>
      <c r="U8">
        <f>LOG10(J8)</f>
        <v/>
      </c>
      <c r="V8">
        <f>LOG10(K8)</f>
        <v/>
      </c>
      <c r="W8">
        <f>LOG10(L8)</f>
        <v/>
      </c>
      <c r="X8">
        <f>LOG10(M8)</f>
        <v/>
      </c>
      <c r="Y8">
        <f>LOG10(N8)</f>
        <v/>
      </c>
      <c r="Z8">
        <f>LOG10(O8)</f>
        <v/>
      </c>
      <c r="AA8">
        <f>LOG10(P8)</f>
        <v/>
      </c>
    </row>
    <row r="9">
      <c r="A9" s="17" t="n"/>
      <c r="B9" s="17" t="n"/>
      <c r="C9" s="6" t="inlineStr">
        <is>
          <t>RX27</t>
        </is>
      </c>
      <c r="D9" s="6" t="inlineStr">
        <is>
          <t>LOS</t>
        </is>
      </c>
      <c r="E9" s="6" t="n">
        <v>38.03</v>
      </c>
      <c r="F9" s="6" t="n">
        <v>104.41</v>
      </c>
      <c r="G9" s="10" t="n">
        <v>2.78583243666743</v>
      </c>
      <c r="H9" s="10" t="n">
        <v>5.52</v>
      </c>
      <c r="I9" s="10" t="n">
        <v>2.45814826260301</v>
      </c>
      <c r="J9" s="11" t="n">
        <v>3.26</v>
      </c>
      <c r="K9" s="10" t="n">
        <v>2.57091126246376</v>
      </c>
      <c r="L9" s="11" t="n">
        <v>3.26</v>
      </c>
      <c r="M9" s="10" t="n">
        <v>5.14747245421376</v>
      </c>
      <c r="N9" s="11" t="n">
        <v>7.18907175066087</v>
      </c>
      <c r="O9" s="10" t="n">
        <v>3.42733354305927</v>
      </c>
      <c r="P9" s="11" t="n">
        <v>3.42238792821082</v>
      </c>
      <c r="R9">
        <f>LOG10(G9)</f>
        <v/>
      </c>
      <c r="S9">
        <f>LOG10(H9)</f>
        <v/>
      </c>
      <c r="T9">
        <f>LOG10(I9)</f>
        <v/>
      </c>
      <c r="U9">
        <f>LOG10(J9)</f>
        <v/>
      </c>
      <c r="V9">
        <f>LOG10(K9)</f>
        <v/>
      </c>
      <c r="W9">
        <f>LOG10(L9)</f>
        <v/>
      </c>
      <c r="X9">
        <f>LOG10(M9)</f>
        <v/>
      </c>
      <c r="Y9">
        <f>LOG10(N9)</f>
        <v/>
      </c>
      <c r="Z9">
        <f>LOG10(O9)</f>
        <v/>
      </c>
      <c r="AA9">
        <f>LOG10(P9)</f>
        <v/>
      </c>
    </row>
    <row r="10">
      <c r="A10" s="17" t="n"/>
      <c r="B10" s="18" t="n"/>
      <c r="C10" s="6" t="inlineStr">
        <is>
          <t>RX31</t>
        </is>
      </c>
      <c r="D10" s="6" t="inlineStr">
        <is>
          <t>LOS</t>
        </is>
      </c>
      <c r="E10" s="6" t="n">
        <v>36.09</v>
      </c>
      <c r="F10" s="6" t="n">
        <v>105.05</v>
      </c>
      <c r="G10" s="10" t="n">
        <v>16.8194519817882</v>
      </c>
      <c r="H10" s="10" t="n">
        <v>16.46</v>
      </c>
      <c r="I10" s="10" t="n">
        <v>3.01087695393463</v>
      </c>
      <c r="J10" s="11" t="n">
        <v>3.26</v>
      </c>
      <c r="K10" s="10" t="n">
        <v>2.5522934116675</v>
      </c>
      <c r="L10" s="11" t="n">
        <v>3.26</v>
      </c>
      <c r="M10" s="10" t="n">
        <v>4.31887354311055</v>
      </c>
      <c r="N10" s="11" t="n">
        <v>5.09080812233789</v>
      </c>
      <c r="O10" s="10" t="n">
        <v>3.40250410299031</v>
      </c>
      <c r="P10" s="11" t="n">
        <v>3.3998377282662</v>
      </c>
      <c r="R10">
        <f>LOG10(G10)</f>
        <v/>
      </c>
      <c r="S10">
        <f>LOG10(H10)</f>
        <v/>
      </c>
      <c r="T10">
        <f>LOG10(I10)</f>
        <v/>
      </c>
      <c r="U10">
        <f>LOG10(J10)</f>
        <v/>
      </c>
      <c r="V10">
        <f>LOG10(K10)</f>
        <v/>
      </c>
      <c r="W10">
        <f>LOG10(L10)</f>
        <v/>
      </c>
      <c r="X10">
        <f>LOG10(M10)</f>
        <v/>
      </c>
      <c r="Y10">
        <f>LOG10(N10)</f>
        <v/>
      </c>
      <c r="Z10">
        <f>LOG10(O10)</f>
        <v/>
      </c>
      <c r="AA10">
        <f>LOG10(P10)</f>
        <v/>
      </c>
    </row>
    <row r="11">
      <c r="A11" s="17" t="n"/>
      <c r="B11" s="13" t="inlineStr">
        <is>
          <t>TX2</t>
        </is>
      </c>
      <c r="C11" s="6" t="inlineStr">
        <is>
          <t>RX1</t>
        </is>
      </c>
      <c r="D11" s="6" t="inlineStr">
        <is>
          <t>LOS</t>
        </is>
      </c>
      <c r="E11" s="6" t="n">
        <v>83.59999999999999</v>
      </c>
      <c r="F11" s="6" t="n">
        <v>112.05</v>
      </c>
      <c r="G11" s="10" t="n">
        <v>46.21367487526</v>
      </c>
      <c r="H11" s="10" t="n">
        <v>31.96</v>
      </c>
      <c r="I11" s="10" t="n">
        <v>2.45115972618228</v>
      </c>
      <c r="J11" s="11" t="n">
        <v>3.26</v>
      </c>
      <c r="K11" s="10" t="n">
        <v>2.51945049754552</v>
      </c>
      <c r="L11" s="11" t="n">
        <v>3.26</v>
      </c>
      <c r="M11" s="10" t="n">
        <v>5.12941973796945</v>
      </c>
      <c r="N11" s="11" t="n">
        <v>6.53815061532866</v>
      </c>
      <c r="O11" s="10" t="n">
        <v>3.35870411362515</v>
      </c>
      <c r="P11" s="11" t="n">
        <v>3.35427190326619</v>
      </c>
      <c r="R11">
        <f>LOG10(G11)</f>
        <v/>
      </c>
      <c r="S11">
        <f>LOG10(H11)</f>
        <v/>
      </c>
      <c r="T11">
        <f>LOG10(I11)</f>
        <v/>
      </c>
      <c r="U11">
        <f>LOG10(J11)</f>
        <v/>
      </c>
      <c r="V11">
        <f>LOG10(K11)</f>
        <v/>
      </c>
      <c r="W11">
        <f>LOG10(L11)</f>
        <v/>
      </c>
      <c r="X11">
        <f>LOG10(M11)</f>
        <v/>
      </c>
      <c r="Y11">
        <f>LOG10(N11)</f>
        <v/>
      </c>
      <c r="Z11">
        <f>LOG10(O11)</f>
        <v/>
      </c>
      <c r="AA11">
        <f>LOG10(P11)</f>
        <v/>
      </c>
    </row>
    <row r="12">
      <c r="A12" s="17" t="n"/>
      <c r="B12" s="17" t="n"/>
      <c r="C12" s="6" t="inlineStr">
        <is>
          <t>RX14</t>
        </is>
      </c>
      <c r="D12" s="6" t="inlineStr">
        <is>
          <t>NLOS</t>
        </is>
      </c>
      <c r="E12" s="12" t="n">
        <v>102.7</v>
      </c>
      <c r="F12" s="15" t="inlineStr">
        <is>
          <t>Outage</t>
        </is>
      </c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20" t="n"/>
    </row>
    <row r="13">
      <c r="A13" s="17" t="n"/>
      <c r="B13" s="17" t="n"/>
      <c r="C13" s="6" t="inlineStr">
        <is>
          <t>RX35</t>
        </is>
      </c>
      <c r="D13" s="6" t="inlineStr">
        <is>
          <t>LOS</t>
        </is>
      </c>
      <c r="E13" s="6" t="n">
        <v>59.31</v>
      </c>
      <c r="F13" s="6" t="n">
        <v>109.24</v>
      </c>
      <c r="G13" s="10" t="n">
        <v>15.6941142870705</v>
      </c>
      <c r="H13" s="10" t="n">
        <v>26.99</v>
      </c>
      <c r="I13" s="10" t="n">
        <v>2.4846330243168</v>
      </c>
      <c r="J13" s="11" t="n">
        <v>3.26</v>
      </c>
      <c r="K13" s="10" t="n">
        <v>2.60248709779676</v>
      </c>
      <c r="L13" s="11" t="n">
        <v>3.26</v>
      </c>
      <c r="M13" s="10" t="n">
        <v>3.31227151464023</v>
      </c>
      <c r="N13" s="11" t="n">
        <v>6.61666111618464</v>
      </c>
      <c r="O13" s="10" t="n">
        <v>3.46944470435545</v>
      </c>
      <c r="P13" s="7" t="n">
        <v>3.4</v>
      </c>
      <c r="R13">
        <f>LOG10(G13)</f>
        <v/>
      </c>
      <c r="S13">
        <f>LOG10(H13)</f>
        <v/>
      </c>
      <c r="T13">
        <f>LOG10(I13)</f>
        <v/>
      </c>
      <c r="U13">
        <f>LOG10(J13)</f>
        <v/>
      </c>
      <c r="V13">
        <f>LOG10(K13)</f>
        <v/>
      </c>
      <c r="W13">
        <f>LOG10(L13)</f>
        <v/>
      </c>
      <c r="X13">
        <f>LOG10(M13)</f>
        <v/>
      </c>
      <c r="Y13">
        <f>LOG10(N13)</f>
        <v/>
      </c>
      <c r="Z13">
        <f>LOG10(O13)</f>
        <v/>
      </c>
      <c r="AA13">
        <f>LOG10(P13)</f>
        <v/>
      </c>
    </row>
    <row r="14">
      <c r="A14" s="17" t="n"/>
      <c r="B14" s="18" t="n"/>
      <c r="C14" s="6" t="inlineStr">
        <is>
          <t>RX36</t>
        </is>
      </c>
      <c r="D14" s="6" t="inlineStr">
        <is>
          <t>LOS</t>
        </is>
      </c>
      <c r="E14" s="6" t="n">
        <v>36.92</v>
      </c>
      <c r="F14" s="6" t="n">
        <v>105.66</v>
      </c>
      <c r="G14" s="10" t="n">
        <v>1.83639484194667</v>
      </c>
      <c r="H14" s="10" t="n">
        <v>17.64</v>
      </c>
      <c r="I14" s="10" t="n">
        <v>3.26627983577715</v>
      </c>
      <c r="J14" s="11" t="n">
        <v>3.26</v>
      </c>
      <c r="K14" s="10" t="n">
        <v>4.72572805601141</v>
      </c>
      <c r="L14" s="11" t="n">
        <v>3.26</v>
      </c>
      <c r="M14" s="10" t="n">
        <v>5.12540241322862</v>
      </c>
      <c r="N14" s="11" t="n">
        <v>6.63819817835821</v>
      </c>
      <c r="O14" s="10" t="n">
        <v>2.31159127797405</v>
      </c>
      <c r="P14" s="11" t="n">
        <v>2.65418660311894</v>
      </c>
      <c r="R14">
        <f>LOG10(G14)</f>
        <v/>
      </c>
      <c r="S14">
        <f>LOG10(H14)</f>
        <v/>
      </c>
      <c r="T14">
        <f>LOG10(I14)</f>
        <v/>
      </c>
      <c r="U14">
        <f>LOG10(J14)</f>
        <v/>
      </c>
      <c r="V14">
        <f>LOG10(K14)</f>
        <v/>
      </c>
      <c r="W14">
        <f>LOG10(L14)</f>
        <v/>
      </c>
      <c r="X14">
        <f>LOG10(M14)</f>
        <v/>
      </c>
      <c r="Y14">
        <f>LOG10(N14)</f>
        <v/>
      </c>
      <c r="Z14">
        <f>LOG10(O14)</f>
        <v/>
      </c>
      <c r="AA14">
        <f>LOG10(P14)</f>
        <v/>
      </c>
    </row>
    <row r="15">
      <c r="A15" s="17" t="n"/>
      <c r="B15" s="13" t="inlineStr">
        <is>
          <t>TX3</t>
        </is>
      </c>
      <c r="C15" s="6" t="inlineStr">
        <is>
          <t>RX1</t>
        </is>
      </c>
      <c r="D15" s="6" t="inlineStr">
        <is>
          <t>NLOS</t>
        </is>
      </c>
      <c r="E15" s="6" t="n">
        <v>72.88</v>
      </c>
      <c r="F15" s="6" t="n">
        <v>130.64</v>
      </c>
      <c r="G15" s="10" t="n">
        <v>7.45488407675869</v>
      </c>
      <c r="H15" s="10" t="n">
        <v>16.06</v>
      </c>
      <c r="I15" s="10" t="n">
        <v>3.511677152821</v>
      </c>
      <c r="J15" s="11" t="n">
        <v>10.89</v>
      </c>
      <c r="K15" s="10" t="n">
        <v>5.31230059433623</v>
      </c>
      <c r="L15" s="11" t="n">
        <v>6.68</v>
      </c>
      <c r="M15" s="10" t="n">
        <v>1.76642235053794</v>
      </c>
      <c r="N15" s="11" t="n">
        <v>1.70646310140537</v>
      </c>
      <c r="O15" s="10" t="n">
        <v>1.79761394327576</v>
      </c>
      <c r="P15" s="11" t="n">
        <v>1.79761394327576</v>
      </c>
      <c r="R15">
        <f>LOG10(G15)</f>
        <v/>
      </c>
      <c r="S15">
        <f>LOG10(H15)</f>
        <v/>
      </c>
      <c r="T15">
        <f>LOG10(I15)</f>
        <v/>
      </c>
      <c r="U15">
        <f>LOG10(J15)</f>
        <v/>
      </c>
      <c r="V15">
        <f>LOG10(K15)</f>
        <v/>
      </c>
      <c r="W15">
        <f>LOG10(L15)</f>
        <v/>
      </c>
      <c r="X15">
        <f>LOG10(M15)</f>
        <v/>
      </c>
      <c r="Y15">
        <f>LOG10(N15)</f>
        <v/>
      </c>
      <c r="Z15">
        <f>LOG10(O15)</f>
        <v/>
      </c>
      <c r="AA15">
        <f>LOG10(P15)</f>
        <v/>
      </c>
    </row>
    <row r="16">
      <c r="A16" s="17" t="n"/>
      <c r="B16" s="17" t="n"/>
      <c r="C16" s="6" t="inlineStr">
        <is>
          <t>RX35</t>
        </is>
      </c>
      <c r="D16" s="6" t="inlineStr">
        <is>
          <t>LOS</t>
        </is>
      </c>
      <c r="E16" s="6" t="n">
        <v>74.8</v>
      </c>
      <c r="F16" s="6" t="n">
        <v>116.78</v>
      </c>
      <c r="G16" s="10" t="n">
        <v>0.901093776760878</v>
      </c>
      <c r="H16" s="10" t="n">
        <v>27.11</v>
      </c>
      <c r="I16" s="10" t="n">
        <v>3.11507536441332</v>
      </c>
      <c r="J16" s="11" t="n">
        <v>13.48</v>
      </c>
      <c r="K16" s="10" t="n">
        <v>3.12667876979038</v>
      </c>
      <c r="L16" s="11" t="n">
        <v>25.11</v>
      </c>
      <c r="M16" s="10" t="n">
        <v>2.87522240774316</v>
      </c>
      <c r="N16" s="11" t="n">
        <v>6.24916147583412</v>
      </c>
      <c r="O16" s="10" t="n">
        <v>2.85372279494467</v>
      </c>
      <c r="P16" s="11" t="n">
        <v>2.88448811999944</v>
      </c>
      <c r="R16">
        <f>LOG10(G16)</f>
        <v/>
      </c>
      <c r="S16">
        <f>LOG10(H16)</f>
        <v/>
      </c>
      <c r="T16">
        <f>LOG10(I16)</f>
        <v/>
      </c>
      <c r="U16">
        <f>LOG10(J16)</f>
        <v/>
      </c>
      <c r="V16">
        <f>LOG10(K16)</f>
        <v/>
      </c>
      <c r="W16">
        <f>LOG10(L16)</f>
        <v/>
      </c>
      <c r="X16">
        <f>LOG10(M16)</f>
        <v/>
      </c>
      <c r="Y16">
        <f>LOG10(N16)</f>
        <v/>
      </c>
      <c r="Z16">
        <f>LOG10(O16)</f>
        <v/>
      </c>
      <c r="AA16">
        <f>LOG10(P16)</f>
        <v/>
      </c>
    </row>
    <row r="17">
      <c r="A17" s="17" t="n"/>
      <c r="B17" s="17" t="n"/>
      <c r="C17" s="6" t="inlineStr">
        <is>
          <t>RX36</t>
        </is>
      </c>
      <c r="D17" s="6" t="inlineStr">
        <is>
          <t>LOS</t>
        </is>
      </c>
      <c r="E17" s="6" t="n">
        <v>82.48</v>
      </c>
      <c r="F17" s="6" t="n">
        <v>115.13</v>
      </c>
      <c r="G17" s="10" t="n">
        <v>0.5315701145623341</v>
      </c>
      <c r="H17" s="10" t="n">
        <v>8.25</v>
      </c>
      <c r="I17" s="10" t="n">
        <v>2.45382935174455</v>
      </c>
      <c r="J17" s="11" t="n">
        <v>3.26</v>
      </c>
      <c r="K17" s="10" t="n">
        <v>2.49727803807059</v>
      </c>
      <c r="L17" s="11" t="n">
        <v>3.26</v>
      </c>
      <c r="M17" s="10" t="n">
        <v>3.27119231764627</v>
      </c>
      <c r="N17" s="11" t="n">
        <v>6.53439886474746</v>
      </c>
      <c r="O17" s="10" t="n">
        <v>3.32913482795959</v>
      </c>
      <c r="P17" s="11" t="n">
        <v>3.76381422083596</v>
      </c>
      <c r="R17">
        <f>LOG10(G17)</f>
        <v/>
      </c>
      <c r="S17">
        <f>LOG10(H17)</f>
        <v/>
      </c>
      <c r="T17">
        <f>LOG10(I17)</f>
        <v/>
      </c>
      <c r="U17">
        <f>LOG10(J17)</f>
        <v/>
      </c>
      <c r="V17">
        <f>LOG10(K17)</f>
        <v/>
      </c>
      <c r="W17">
        <f>LOG10(L17)</f>
        <v/>
      </c>
      <c r="X17">
        <f>LOG10(M17)</f>
        <v/>
      </c>
      <c r="Y17">
        <f>LOG10(N17)</f>
        <v/>
      </c>
      <c r="Z17">
        <f>LOG10(O17)</f>
        <v/>
      </c>
      <c r="AA17">
        <f>LOG10(P17)</f>
        <v/>
      </c>
    </row>
    <row r="18">
      <c r="A18" s="17" t="n"/>
      <c r="B18" s="18" t="n"/>
      <c r="C18" s="6" t="inlineStr">
        <is>
          <t>RX37</t>
        </is>
      </c>
      <c r="D18" s="6" t="inlineStr">
        <is>
          <t>LOS</t>
        </is>
      </c>
      <c r="E18" s="6" t="n">
        <v>96.40000000000001</v>
      </c>
      <c r="F18" s="6" t="n">
        <v>120.61</v>
      </c>
      <c r="G18" s="10" t="n">
        <v>0.0565912668158186</v>
      </c>
      <c r="H18" s="10" t="n">
        <v>11.7</v>
      </c>
      <c r="I18" s="10" t="n">
        <v>2.80581477430337</v>
      </c>
      <c r="J18" s="11" t="n">
        <v>3.96</v>
      </c>
      <c r="K18" s="10" t="n">
        <v>2.46786774646473</v>
      </c>
      <c r="L18" s="11" t="n">
        <v>3.26</v>
      </c>
      <c r="M18" s="10" t="n">
        <v>2.15733754617237</v>
      </c>
      <c r="N18" s="11" t="n">
        <v>4.98144812756142</v>
      </c>
      <c r="O18" s="10" t="n">
        <v>3.28991358731963</v>
      </c>
      <c r="P18" s="11" t="n">
        <v>3.28991358731963</v>
      </c>
      <c r="R18">
        <f>LOG10(G18)</f>
        <v/>
      </c>
      <c r="S18">
        <f>LOG10(H18)</f>
        <v/>
      </c>
      <c r="T18">
        <f>LOG10(I18)</f>
        <v/>
      </c>
      <c r="U18">
        <f>LOG10(J18)</f>
        <v/>
      </c>
      <c r="V18">
        <f>LOG10(K18)</f>
        <v/>
      </c>
      <c r="W18">
        <f>LOG10(L18)</f>
        <v/>
      </c>
      <c r="X18">
        <f>LOG10(M18)</f>
        <v/>
      </c>
      <c r="Y18">
        <f>LOG10(N18)</f>
        <v/>
      </c>
      <c r="Z18">
        <f>LOG10(O18)</f>
        <v/>
      </c>
      <c r="AA18">
        <f>LOG10(P18)</f>
        <v/>
      </c>
    </row>
    <row r="19">
      <c r="A19" s="17" t="n"/>
      <c r="B19" s="13" t="inlineStr">
        <is>
          <t>TX4</t>
        </is>
      </c>
      <c r="C19" s="6" t="inlineStr">
        <is>
          <t>RX1</t>
        </is>
      </c>
      <c r="D19" s="6" t="inlineStr">
        <is>
          <t>NLOS</t>
        </is>
      </c>
      <c r="E19" s="6" t="n">
        <v>117.43</v>
      </c>
      <c r="F19" s="6" t="n">
        <v>128.21</v>
      </c>
      <c r="G19" s="10" t="n">
        <v>0.1</v>
      </c>
      <c r="H19" s="10" t="n">
        <v>26.38</v>
      </c>
      <c r="I19" s="10" t="n">
        <v>2.44892978815853</v>
      </c>
      <c r="J19" s="11" t="n">
        <v>3.26</v>
      </c>
      <c r="K19" s="10" t="n">
        <v>3.43473947282176</v>
      </c>
      <c r="L19" s="11" t="n">
        <v>4.42</v>
      </c>
      <c r="M19" s="10" t="n">
        <v>3.2646584030669</v>
      </c>
      <c r="N19" s="11" t="n">
        <v>6.52131521755489</v>
      </c>
      <c r="O19" s="10" t="n">
        <v>2.32621287628683</v>
      </c>
      <c r="P19" s="11" t="n">
        <v>2.32621287628683</v>
      </c>
      <c r="R19">
        <f>LOG10(G19)</f>
        <v/>
      </c>
      <c r="S19">
        <f>LOG10(H19)</f>
        <v/>
      </c>
      <c r="T19">
        <f>LOG10(I19)</f>
        <v/>
      </c>
      <c r="U19">
        <f>LOG10(J19)</f>
        <v/>
      </c>
      <c r="V19">
        <f>LOG10(K19)</f>
        <v/>
      </c>
      <c r="W19">
        <f>LOG10(L19)</f>
        <v/>
      </c>
      <c r="X19">
        <f>LOG10(M19)</f>
        <v/>
      </c>
      <c r="Y19">
        <f>LOG10(N19)</f>
        <v/>
      </c>
      <c r="Z19">
        <f>LOG10(O19)</f>
        <v/>
      </c>
      <c r="AA19">
        <f>LOG10(P19)</f>
        <v/>
      </c>
    </row>
    <row r="20">
      <c r="A20" s="17" t="n"/>
      <c r="B20" s="17" t="n"/>
      <c r="C20" s="6" t="inlineStr">
        <is>
          <t>RX3</t>
        </is>
      </c>
      <c r="D20" s="6" t="inlineStr">
        <is>
          <t>LOS</t>
        </is>
      </c>
      <c r="E20" s="6" t="n">
        <v>117.25</v>
      </c>
      <c r="F20" s="6" t="n">
        <v>113.31</v>
      </c>
      <c r="G20" s="10" t="n">
        <v>12.4848056817582</v>
      </c>
      <c r="H20" s="10" t="n">
        <v>17.17</v>
      </c>
      <c r="I20" s="10" t="n">
        <v>3.9304253048517</v>
      </c>
      <c r="J20" s="11" t="n">
        <v>4.99</v>
      </c>
      <c r="K20" s="10" t="n">
        <v>2.40478376932395</v>
      </c>
      <c r="L20" s="11" t="n">
        <v>3.26</v>
      </c>
      <c r="M20" s="10" t="n">
        <v>0.744511780533716</v>
      </c>
      <c r="N20" s="11" t="n">
        <v>3.71990533082887</v>
      </c>
      <c r="O20" s="10" t="n">
        <v>3.20578718953312</v>
      </c>
      <c r="P20" s="11" t="n">
        <v>3.16498709536958</v>
      </c>
      <c r="R20">
        <f>LOG10(G20)</f>
        <v/>
      </c>
      <c r="S20">
        <f>LOG10(H20)</f>
        <v/>
      </c>
      <c r="T20">
        <f>LOG10(I20)</f>
        <v/>
      </c>
      <c r="U20">
        <f>LOG10(J20)</f>
        <v/>
      </c>
      <c r="V20">
        <f>LOG10(K20)</f>
        <v/>
      </c>
      <c r="W20">
        <f>LOG10(L20)</f>
        <v/>
      </c>
      <c r="X20">
        <f>LOG10(M20)</f>
        <v/>
      </c>
      <c r="Y20">
        <f>LOG10(N20)</f>
        <v/>
      </c>
      <c r="Z20">
        <f>LOG10(O20)</f>
        <v/>
      </c>
      <c r="AA20">
        <f>LOG10(P20)</f>
        <v/>
      </c>
    </row>
    <row r="21">
      <c r="A21" s="17" t="n"/>
      <c r="B21" s="17" t="n"/>
      <c r="C21" s="6" t="inlineStr">
        <is>
          <t>RX37</t>
        </is>
      </c>
      <c r="D21" s="6" t="inlineStr">
        <is>
          <t>LOS</t>
        </is>
      </c>
      <c r="E21" s="6" t="n">
        <v>44.31</v>
      </c>
      <c r="F21" s="6" t="n">
        <v>105.1</v>
      </c>
      <c r="G21" s="10" t="n">
        <v>1.10066202866675</v>
      </c>
      <c r="H21" s="10" t="n">
        <v>7.7</v>
      </c>
      <c r="I21" s="10" t="n">
        <v>5.75071199294748</v>
      </c>
      <c r="J21" s="11" t="n">
        <v>7.14</v>
      </c>
      <c r="K21" s="10" t="n">
        <v>3.84169543371179</v>
      </c>
      <c r="L21" s="11" t="n">
        <v>13.42</v>
      </c>
      <c r="M21" s="10" t="n">
        <v>2.56310008390808</v>
      </c>
      <c r="N21" s="11" t="n">
        <v>5.15419046236701</v>
      </c>
      <c r="O21" s="10" t="n">
        <v>2.66376506983885</v>
      </c>
      <c r="P21" s="11" t="n">
        <v>2.5816544326892</v>
      </c>
      <c r="R21">
        <f>LOG10(G21)</f>
        <v/>
      </c>
      <c r="S21">
        <f>LOG10(H21)</f>
        <v/>
      </c>
      <c r="T21">
        <f>LOG10(I21)</f>
        <v/>
      </c>
      <c r="U21">
        <f>LOG10(J21)</f>
        <v/>
      </c>
      <c r="V21">
        <f>LOG10(K21)</f>
        <v/>
      </c>
      <c r="W21">
        <f>LOG10(L21)</f>
        <v/>
      </c>
      <c r="X21">
        <f>LOG10(M21)</f>
        <v/>
      </c>
      <c r="Y21">
        <f>LOG10(N21)</f>
        <v/>
      </c>
      <c r="Z21">
        <f>LOG10(O21)</f>
        <v/>
      </c>
      <c r="AA21">
        <f>LOG10(P21)</f>
        <v/>
      </c>
    </row>
    <row r="22">
      <c r="A22" s="17" t="n"/>
      <c r="B22" s="18" t="n"/>
      <c r="C22" s="6" t="inlineStr">
        <is>
          <t>RX38</t>
        </is>
      </c>
      <c r="D22" s="6" t="inlineStr">
        <is>
          <t>NLOS</t>
        </is>
      </c>
      <c r="E22" s="6" t="n">
        <v>52.01</v>
      </c>
      <c r="F22" s="6" t="n">
        <v>138.24</v>
      </c>
      <c r="G22" s="10" t="n">
        <v>0.1</v>
      </c>
      <c r="H22" s="10" t="n">
        <v>0.54</v>
      </c>
      <c r="I22" s="10" t="n">
        <v>3.43412368953039</v>
      </c>
      <c r="J22" s="11" t="n">
        <v>4.96</v>
      </c>
      <c r="K22" s="10" t="n">
        <v>3.4341236895306</v>
      </c>
      <c r="L22" s="11" t="n">
        <v>4.96</v>
      </c>
      <c r="M22" s="10" t="n">
        <v>2.42414095149944</v>
      </c>
      <c r="N22" s="11" t="n">
        <v>2.42414095149944</v>
      </c>
      <c r="O22" s="10" t="n">
        <v>2.42414095149929</v>
      </c>
      <c r="P22" s="11" t="n">
        <v>2.42414095149929</v>
      </c>
      <c r="R22">
        <f>LOG10(G22)</f>
        <v/>
      </c>
      <c r="S22">
        <f>LOG10(H22)</f>
        <v/>
      </c>
      <c r="T22">
        <f>LOG10(I22)</f>
        <v/>
      </c>
      <c r="U22">
        <f>LOG10(J22)</f>
        <v/>
      </c>
      <c r="V22">
        <f>LOG10(K22)</f>
        <v/>
      </c>
      <c r="W22">
        <f>LOG10(L22)</f>
        <v/>
      </c>
      <c r="X22">
        <f>LOG10(M22)</f>
        <v/>
      </c>
      <c r="Y22">
        <f>LOG10(N22)</f>
        <v/>
      </c>
      <c r="Z22">
        <f>LOG10(O22)</f>
        <v/>
      </c>
      <c r="AA22">
        <f>LOG10(P22)</f>
        <v/>
      </c>
    </row>
    <row r="23">
      <c r="A23" s="17" t="n"/>
      <c r="B23" s="13" t="inlineStr">
        <is>
          <t>TX5</t>
        </is>
      </c>
      <c r="C23" s="6" t="inlineStr">
        <is>
          <t>RX1</t>
        </is>
      </c>
      <c r="D23" s="6" t="inlineStr">
        <is>
          <t>NLOS</t>
        </is>
      </c>
      <c r="E23" s="6" t="n">
        <v>61.45</v>
      </c>
      <c r="F23" s="6" t="n">
        <v>115.39</v>
      </c>
      <c r="G23" s="10" t="n">
        <v>12.6126968372822</v>
      </c>
      <c r="H23" s="10" t="n">
        <v>41.82</v>
      </c>
      <c r="I23" s="10" t="n">
        <v>2.76910528741515</v>
      </c>
      <c r="J23" s="11" t="n">
        <v>57.48</v>
      </c>
      <c r="K23" s="10" t="n">
        <v>3.72101940542132</v>
      </c>
      <c r="L23" s="11" t="n">
        <v>10.09</v>
      </c>
      <c r="M23" s="10" t="n">
        <v>4.1165017940696</v>
      </c>
      <c r="N23" s="11" t="n">
        <v>7.46768840631583</v>
      </c>
      <c r="O23" s="10" t="n">
        <v>2.80670601297008</v>
      </c>
      <c r="P23" s="11" t="n">
        <v>3.04376480742692</v>
      </c>
      <c r="R23">
        <f>LOG10(G23)</f>
        <v/>
      </c>
      <c r="S23">
        <f>LOG10(H23)</f>
        <v/>
      </c>
      <c r="T23">
        <f>LOG10(I23)</f>
        <v/>
      </c>
      <c r="U23">
        <f>LOG10(J23)</f>
        <v/>
      </c>
      <c r="V23">
        <f>LOG10(K23)</f>
        <v/>
      </c>
      <c r="W23">
        <f>LOG10(L23)</f>
        <v/>
      </c>
      <c r="X23">
        <f>LOG10(M23)</f>
        <v/>
      </c>
      <c r="Y23">
        <f>LOG10(N23)</f>
        <v/>
      </c>
      <c r="Z23">
        <f>LOG10(O23)</f>
        <v/>
      </c>
      <c r="AA23">
        <f>LOG10(P23)</f>
        <v/>
      </c>
    </row>
    <row r="24">
      <c r="A24" s="17" t="n"/>
      <c r="B24" s="17" t="n"/>
      <c r="C24" s="6" t="inlineStr">
        <is>
          <t>RX3</t>
        </is>
      </c>
      <c r="D24" s="6" t="inlineStr">
        <is>
          <t>LOS</t>
        </is>
      </c>
      <c r="E24" s="6" t="n">
        <v>61.35</v>
      </c>
      <c r="F24" s="6" t="n">
        <v>107.2</v>
      </c>
      <c r="G24" s="10" t="n">
        <v>1.49727920094855</v>
      </c>
      <c r="H24" s="10" t="n">
        <v>15.55</v>
      </c>
      <c r="I24" s="10" t="n">
        <v>2.45634406690795</v>
      </c>
      <c r="J24" s="11" t="n">
        <v>3.26</v>
      </c>
      <c r="K24" s="10" t="n">
        <v>2.47879575221734</v>
      </c>
      <c r="L24" s="11" t="n">
        <v>3.26</v>
      </c>
      <c r="M24" s="10" t="n">
        <v>3.27454587359784</v>
      </c>
      <c r="N24" s="11" t="n">
        <v>6.54111416975657</v>
      </c>
      <c r="O24" s="10" t="n">
        <v>3.30448699592028</v>
      </c>
      <c r="P24" s="11" t="n">
        <v>3.29444377501526</v>
      </c>
      <c r="R24">
        <f>LOG10(G24)</f>
        <v/>
      </c>
      <c r="S24">
        <f>LOG10(H24)</f>
        <v/>
      </c>
      <c r="T24">
        <f>LOG10(I24)</f>
        <v/>
      </c>
      <c r="U24">
        <f>LOG10(J24)</f>
        <v/>
      </c>
      <c r="V24">
        <f>LOG10(K24)</f>
        <v/>
      </c>
      <c r="W24">
        <f>LOG10(L24)</f>
        <v/>
      </c>
      <c r="X24">
        <f>LOG10(M24)</f>
        <v/>
      </c>
      <c r="Y24">
        <f>LOG10(N24)</f>
        <v/>
      </c>
      <c r="Z24">
        <f>LOG10(O24)</f>
        <v/>
      </c>
      <c r="AA24">
        <f>LOG10(P24)</f>
        <v/>
      </c>
    </row>
    <row r="25">
      <c r="A25" s="17" t="n"/>
      <c r="B25" s="17" t="n"/>
      <c r="C25" s="6" t="inlineStr">
        <is>
          <t>RX10</t>
        </is>
      </c>
      <c r="D25" s="6" t="inlineStr">
        <is>
          <t>NLOS</t>
        </is>
      </c>
      <c r="E25" s="6" t="n">
        <v>65.63</v>
      </c>
      <c r="F25" s="6" t="n">
        <v>122.63</v>
      </c>
      <c r="G25" s="10" t="n">
        <v>2.04639221620676</v>
      </c>
      <c r="H25" s="10" t="n">
        <v>36.54</v>
      </c>
      <c r="I25" s="10" t="n">
        <v>3.47164407698159</v>
      </c>
      <c r="J25" s="11" t="n">
        <v>5.18</v>
      </c>
      <c r="K25" s="10" t="n">
        <v>3.5338372522905</v>
      </c>
      <c r="L25" s="11" t="n">
        <v>19.43</v>
      </c>
      <c r="M25" s="10" t="n">
        <v>2.44119843723456</v>
      </c>
      <c r="N25" s="11" t="n">
        <v>5.18743293425537</v>
      </c>
      <c r="O25" s="10" t="n">
        <v>2.48544940446045</v>
      </c>
      <c r="P25" s="11" t="n">
        <v>2.36806317841548</v>
      </c>
      <c r="R25">
        <f>LOG10(G25)</f>
        <v/>
      </c>
      <c r="S25">
        <f>LOG10(H25)</f>
        <v/>
      </c>
      <c r="T25">
        <f>LOG10(I25)</f>
        <v/>
      </c>
      <c r="U25">
        <f>LOG10(J25)</f>
        <v/>
      </c>
      <c r="V25">
        <f>LOG10(K25)</f>
        <v/>
      </c>
      <c r="W25">
        <f>LOG10(L25)</f>
        <v/>
      </c>
      <c r="X25">
        <f>LOG10(M25)</f>
        <v/>
      </c>
      <c r="Y25">
        <f>LOG10(N25)</f>
        <v/>
      </c>
      <c r="Z25">
        <f>LOG10(O25)</f>
        <v/>
      </c>
      <c r="AA25">
        <f>LOG10(P25)</f>
        <v/>
      </c>
    </row>
    <row r="26">
      <c r="A26" s="17" t="n"/>
      <c r="B26" s="18" t="n"/>
      <c r="C26" s="6" t="inlineStr">
        <is>
          <t>RX35</t>
        </is>
      </c>
      <c r="D26" s="6" t="inlineStr">
        <is>
          <t>LOS</t>
        </is>
      </c>
      <c r="E26" s="6" t="n">
        <v>85.64</v>
      </c>
      <c r="F26" s="6" t="n">
        <v>110.93</v>
      </c>
      <c r="G26" s="10" t="n">
        <v>0.361824232857057</v>
      </c>
      <c r="H26" s="10" t="n">
        <v>1.39</v>
      </c>
      <c r="I26" s="10" t="n">
        <v>2.46381380752946</v>
      </c>
      <c r="J26" s="11" t="n">
        <v>3.26</v>
      </c>
      <c r="K26" s="10" t="n">
        <v>3.73747645094154</v>
      </c>
      <c r="L26" s="11" t="n">
        <v>3.26</v>
      </c>
      <c r="M26" s="10" t="n">
        <v>3.28450733886085</v>
      </c>
      <c r="N26" s="11" t="n">
        <v>6.56106173562622</v>
      </c>
      <c r="O26" s="10" t="n">
        <v>2.61516656668651</v>
      </c>
      <c r="P26" s="11" t="n">
        <v>2.61516656668651</v>
      </c>
      <c r="R26">
        <f>LOG10(G26)</f>
        <v/>
      </c>
      <c r="S26">
        <f>LOG10(H26)</f>
        <v/>
      </c>
      <c r="T26">
        <f>LOG10(I26)</f>
        <v/>
      </c>
      <c r="U26">
        <f>LOG10(J26)</f>
        <v/>
      </c>
      <c r="V26">
        <f>LOG10(K26)</f>
        <v/>
      </c>
      <c r="W26">
        <f>LOG10(L26)</f>
        <v/>
      </c>
      <c r="X26">
        <f>LOG10(M26)</f>
        <v/>
      </c>
      <c r="Y26">
        <f>LOG10(N26)</f>
        <v/>
      </c>
      <c r="Z26">
        <f>LOG10(O26)</f>
        <v/>
      </c>
      <c r="AA26">
        <f>LOG10(P26)</f>
        <v/>
      </c>
    </row>
    <row r="27">
      <c r="A27" s="17" t="n"/>
      <c r="B27" s="13" t="inlineStr">
        <is>
          <t>TX6</t>
        </is>
      </c>
      <c r="C27" s="6" t="inlineStr">
        <is>
          <t>RX1</t>
        </is>
      </c>
      <c r="D27" s="6" t="inlineStr">
        <is>
          <t>LOS</t>
        </is>
      </c>
      <c r="E27" s="6" t="n">
        <v>39.08</v>
      </c>
      <c r="F27" s="6" t="n">
        <v>104.03</v>
      </c>
      <c r="G27" s="10" t="n">
        <v>2.20185134500911</v>
      </c>
      <c r="H27" s="10" t="n">
        <v>18.66</v>
      </c>
      <c r="I27" s="10" t="n">
        <v>2.99082515896868</v>
      </c>
      <c r="J27" s="11" t="n">
        <v>4.68</v>
      </c>
      <c r="K27" s="10" t="n">
        <v>3.73027027261328</v>
      </c>
      <c r="L27" s="11" t="n">
        <v>4.85</v>
      </c>
      <c r="M27" s="10" t="n">
        <v>3.78646063996559</v>
      </c>
      <c r="N27" s="11" t="n">
        <v>5.41100714997389</v>
      </c>
      <c r="O27" s="10" t="n">
        <v>1.16721546346684</v>
      </c>
      <c r="P27" s="11" t="n">
        <v>1.13744881398742</v>
      </c>
      <c r="R27">
        <f>LOG10(G27)</f>
        <v/>
      </c>
      <c r="S27">
        <f>LOG10(H27)</f>
        <v/>
      </c>
      <c r="T27">
        <f>LOG10(I27)</f>
        <v/>
      </c>
      <c r="U27">
        <f>LOG10(J27)</f>
        <v/>
      </c>
      <c r="V27">
        <f>LOG10(K27)</f>
        <v/>
      </c>
      <c r="W27">
        <f>LOG10(L27)</f>
        <v/>
      </c>
      <c r="X27">
        <f>LOG10(M27)</f>
        <v/>
      </c>
      <c r="Y27">
        <f>LOG10(N27)</f>
        <v/>
      </c>
      <c r="Z27">
        <f>LOG10(O27)</f>
        <v/>
      </c>
      <c r="AA27">
        <f>LOG10(P27)</f>
        <v/>
      </c>
    </row>
    <row r="28">
      <c r="A28" s="17" t="n"/>
      <c r="B28" s="17" t="n"/>
      <c r="C28" s="6" t="inlineStr">
        <is>
          <t>RX39</t>
        </is>
      </c>
      <c r="D28" s="6" t="inlineStr">
        <is>
          <t>NLOS</t>
        </is>
      </c>
      <c r="E28" s="6" t="n">
        <v>48.65</v>
      </c>
      <c r="F28" s="6" t="n">
        <v>113.19</v>
      </c>
      <c r="G28" s="10" t="n">
        <v>1.7207675238922</v>
      </c>
      <c r="H28" s="10" t="n">
        <v>23.57</v>
      </c>
      <c r="I28" s="10" t="n">
        <v>3.43486264338063</v>
      </c>
      <c r="J28" s="11" t="n">
        <v>61.45</v>
      </c>
      <c r="K28" s="10" t="n">
        <v>4.15402342905336</v>
      </c>
      <c r="L28" s="11" t="n">
        <v>31.83</v>
      </c>
      <c r="M28" s="10" t="n">
        <v>2.99890289155385</v>
      </c>
      <c r="N28" s="11" t="n">
        <v>6.03404243437353</v>
      </c>
      <c r="O28" s="10" t="n">
        <v>1.8074698827725</v>
      </c>
      <c r="P28" s="11" t="n">
        <v>1.72707758313225</v>
      </c>
      <c r="R28">
        <f>LOG10(G28)</f>
        <v/>
      </c>
      <c r="S28">
        <f>LOG10(H28)</f>
        <v/>
      </c>
      <c r="T28">
        <f>LOG10(I28)</f>
        <v/>
      </c>
      <c r="U28">
        <f>LOG10(J28)</f>
        <v/>
      </c>
      <c r="V28">
        <f>LOG10(K28)</f>
        <v/>
      </c>
      <c r="W28">
        <f>LOG10(L28)</f>
        <v/>
      </c>
      <c r="X28">
        <f>LOG10(M28)</f>
        <v/>
      </c>
      <c r="Y28">
        <f>LOG10(N28)</f>
        <v/>
      </c>
      <c r="Z28">
        <f>LOG10(O28)</f>
        <v/>
      </c>
      <c r="AA28">
        <f>LOG10(P28)</f>
        <v/>
      </c>
    </row>
    <row r="29">
      <c r="A29" s="18" t="n"/>
      <c r="B29" s="18" t="n"/>
      <c r="C29" s="6" t="inlineStr">
        <is>
          <t>RX40</t>
        </is>
      </c>
      <c r="D29" s="6" t="inlineStr">
        <is>
          <t>NLOS</t>
        </is>
      </c>
      <c r="E29" s="6" t="n">
        <v>53.02</v>
      </c>
      <c r="F29" s="6" t="n">
        <v>120.12</v>
      </c>
      <c r="G29" s="10" t="n">
        <v>1.85359854749373</v>
      </c>
      <c r="H29" s="10" t="n">
        <v>29.76</v>
      </c>
      <c r="I29" s="10" t="n">
        <v>3.42653458278227</v>
      </c>
      <c r="J29" s="11" t="n">
        <v>34.88</v>
      </c>
      <c r="K29" s="10" t="n">
        <v>3.32742252270239</v>
      </c>
      <c r="L29" s="11" t="n">
        <v>3.97</v>
      </c>
      <c r="M29" s="10" t="n">
        <v>3.75216692757676</v>
      </c>
      <c r="N29" s="11" t="n">
        <v>5.40417722883189</v>
      </c>
      <c r="O29" s="10" t="n">
        <v>2.18139068975142</v>
      </c>
      <c r="P29" s="11" t="n">
        <v>2.10022065166506</v>
      </c>
      <c r="R29">
        <f>LOG10(G29)</f>
        <v/>
      </c>
      <c r="S29">
        <f>LOG10(H29)</f>
        <v/>
      </c>
      <c r="T29">
        <f>LOG10(I29)</f>
        <v/>
      </c>
      <c r="U29">
        <f>LOG10(J29)</f>
        <v/>
      </c>
      <c r="V29">
        <f>LOG10(K29)</f>
        <v/>
      </c>
      <c r="W29">
        <f>LOG10(L29)</f>
        <v/>
      </c>
      <c r="X29">
        <f>LOG10(M29)</f>
        <v/>
      </c>
      <c r="Y29">
        <f>LOG10(N29)</f>
        <v/>
      </c>
      <c r="Z29">
        <f>LOG10(O29)</f>
        <v/>
      </c>
      <c r="AA29">
        <f>LOG10(P29)</f>
        <v/>
      </c>
    </row>
    <row r="30">
      <c r="A30" s="14" t="n"/>
      <c r="B30" s="13" t="n"/>
      <c r="C30" s="6" t="n"/>
      <c r="D30" s="6" t="inlineStr">
        <is>
          <t>LOS</t>
        </is>
      </c>
      <c r="E30" s="6" t="n"/>
      <c r="F30" s="6" t="n"/>
      <c r="G30" s="10">
        <f>10^R34</f>
        <v/>
      </c>
      <c r="H30" s="10">
        <f>10^S34</f>
        <v/>
      </c>
      <c r="I30" s="10">
        <f>10^T34</f>
        <v/>
      </c>
      <c r="J30" s="10">
        <f>10^U34</f>
        <v/>
      </c>
      <c r="K30" s="10">
        <f>10^V34</f>
        <v/>
      </c>
      <c r="L30" s="10">
        <f>10^W34</f>
        <v/>
      </c>
      <c r="M30" s="10">
        <f>10^X34</f>
        <v/>
      </c>
      <c r="N30" s="10">
        <f>10^Y34</f>
        <v/>
      </c>
      <c r="O30" s="10">
        <f>10^Z34</f>
        <v/>
      </c>
      <c r="P30" s="10">
        <f>10^AA34</f>
        <v/>
      </c>
      <c r="Q30" s="3" t="inlineStr">
        <is>
          <t>muLOS</t>
        </is>
      </c>
      <c r="R30">
        <f>AVERAGE(R2,R3,R8,R9,R10,R11,R13,R14,R16,R17,R18,R20,R21,R24,R26,R27)</f>
        <v/>
      </c>
      <c r="S30">
        <f>AVERAGE(S2,S3,S8,S9,S10,S11,S13,S14,S16,S17,S18,S20,S21,S24,S26,S27)</f>
        <v/>
      </c>
      <c r="T30">
        <f>AVERAGE(T2,T3,T8,T9,T10,T11,T13,T14,T16,T17,T18,T20,T21,T24,T26,T27)</f>
        <v/>
      </c>
      <c r="U30">
        <f>AVERAGE(U2,U3,U8,U9,U10,U11,U13,U14,U16,U17,U18,U20,U21,U24,U26,U27)</f>
        <v/>
      </c>
      <c r="V30">
        <f>AVERAGE(V2,V3,V8,V9,V10,V11,V13,V14,V16,V17,V18,V20,V21,V24,V26,V27)</f>
        <v/>
      </c>
      <c r="W30">
        <f>AVERAGE(W2,W3,W8,W9,W10,W11,W13,W14,W16,W17,W18,W20,W21,W24,W26,W27)</f>
        <v/>
      </c>
      <c r="X30">
        <f>AVERAGE(X2,X3,X8,X9,X10,X11,X13,X14,X16,X17,X18,X20,X21,X24,X26,X27)</f>
        <v/>
      </c>
      <c r="Y30">
        <f>AVERAGE(Y2,Y3,Y8,Y9,Y10,Y11,Y13,Y14,Y16,Y17,Y18,Y20,Y21,Y24,Y26,Y27)</f>
        <v/>
      </c>
      <c r="Z30">
        <f>AVERAGE(Z2,Z3,Z8,Z9,Z10,Z11,Z13,Z14,Z16,Z17,Z18,Z20,Z21,Z24,Z26,Z27)</f>
        <v/>
      </c>
      <c r="AA30">
        <f>AVERAGE(AA2,AA3,AA8,AA9,AA10,AA11,AA13,AA14,AA16,AA17,AA18,AA20,AA21,AA24,AA26,AA27)</f>
        <v/>
      </c>
      <c r="AB30" s="3" t="n"/>
      <c r="AC30" s="5">
        <f>POWER(10,(R30+(0.5*POWER(R32,2))))</f>
        <v/>
      </c>
      <c r="AD30" s="5">
        <f>POWER(10,(S30+(0.5*POWER(S32,2))))</f>
        <v/>
      </c>
      <c r="AE30" s="5">
        <f>POWER(10,(T30+(0.5*POWER(T32,2))))</f>
        <v/>
      </c>
      <c r="AF30" s="5">
        <f>POWER(10,(U30+(0.5*POWER(U32,2))))</f>
        <v/>
      </c>
      <c r="AG30" s="5">
        <f>POWER(10,(V30+(0.5*POWER(V32,2))))</f>
        <v/>
      </c>
      <c r="AH30" s="5">
        <f>POWER(10,(W30+(0.5*POWER(W32,2))))</f>
        <v/>
      </c>
      <c r="AI30" s="5">
        <f>POWER(10,(X30+(0.5*POWER(X32,2))))</f>
        <v/>
      </c>
      <c r="AJ30" s="5">
        <f>POWER(10,(Y30+(0.5*POWER(Y32,2))))</f>
        <v/>
      </c>
      <c r="AK30" s="5">
        <f>POWER(10,(Z30+(0.5*POWER(Z32,2))))</f>
        <v/>
      </c>
      <c r="AL30" s="5">
        <f>POWER(10,(AA30+(0.5*POWER(AA32,2))))</f>
        <v/>
      </c>
      <c r="AM30" s="5" t="n"/>
    </row>
    <row r="31">
      <c r="A31" s="14" t="n"/>
      <c r="B31" s="13" t="n"/>
      <c r="C31" s="6" t="n"/>
      <c r="D31" s="6" t="inlineStr">
        <is>
          <t>NLOS</t>
        </is>
      </c>
      <c r="E31" s="6" t="n"/>
      <c r="F31" s="6" t="n"/>
      <c r="G31" s="10">
        <f>10^R35</f>
        <v/>
      </c>
      <c r="H31" s="10">
        <f>10^S35</f>
        <v/>
      </c>
      <c r="I31" s="10">
        <f>10^T35</f>
        <v/>
      </c>
      <c r="J31" s="10">
        <f>10^U35</f>
        <v/>
      </c>
      <c r="K31" s="10">
        <f>10^V35</f>
        <v/>
      </c>
      <c r="L31" s="10">
        <f>10^W35</f>
        <v/>
      </c>
      <c r="M31" s="10">
        <f>10^X35</f>
        <v/>
      </c>
      <c r="N31" s="10">
        <f>10^Y35</f>
        <v/>
      </c>
      <c r="O31" s="10">
        <f>10^Z35</f>
        <v/>
      </c>
      <c r="P31" s="10">
        <f>10^AA35</f>
        <v/>
      </c>
      <c r="Q31" s="3" t="inlineStr">
        <is>
          <t>muNLOS</t>
        </is>
      </c>
      <c r="R31">
        <f>AVERAGE(R4,R5,R6,R7,R15,R19,R22,R23,R25,R28,R29)</f>
        <v/>
      </c>
      <c r="S31">
        <f>AVERAGE(S4,S5,S6,S7,S15,S19,S22,S23,S25,S28,S29)</f>
        <v/>
      </c>
      <c r="T31">
        <f>AVERAGE(T4,T5,T6,T7,T15,T19,T22,T23,T25,T28,T29)</f>
        <v/>
      </c>
      <c r="U31">
        <f>AVERAGE(U4,U5,U6,U7,U15,U19,U22,U23,U25,U28,U29)</f>
        <v/>
      </c>
      <c r="V31">
        <f>AVERAGE(V4,V5,V6,V7,V15,V19,V22,V23,V25,V28,V29)</f>
        <v/>
      </c>
      <c r="W31">
        <f>AVERAGE(W4,W5,W6,W7,W15,W19,W22,W23,W25,W28,W29)</f>
        <v/>
      </c>
      <c r="X31">
        <f>AVERAGE(X4,X5,X6,X7,X15,X19,X22,X23,X25,X28,X29)</f>
        <v/>
      </c>
      <c r="Y31">
        <f>AVERAGE(Y4,Y5,Y6,Y7,Y15,Y19,Y22,Y23,Y25,Y28,Y29)</f>
        <v/>
      </c>
      <c r="Z31">
        <f>AVERAGE(Z4,Z5,Z6,Z7,Z15,Z19,Z22,Z23,Z25,Z28,Z29)</f>
        <v/>
      </c>
      <c r="AA31">
        <f>AVERAGE(AA4,AA5,AA6,AA7,AA15,AA19,AA22,AA23,AA25,AA28,AA29)</f>
        <v/>
      </c>
      <c r="AC31" s="5">
        <f>POWER(10,(R31+(0.5*POWER(R33,2))))</f>
        <v/>
      </c>
      <c r="AD31" s="5">
        <f>POWER(10,(S31+(0.5*POWER(S33,2))))</f>
        <v/>
      </c>
      <c r="AE31" s="5">
        <f>POWER(10,(T31+(0.5*POWER(T33,2))))</f>
        <v/>
      </c>
      <c r="AF31" s="5">
        <f>POWER(10,(U31+(0.5*POWER(U33,2))))</f>
        <v/>
      </c>
      <c r="AG31" s="5">
        <f>POWER(10,(V31+(0.5*POWER(V33,2))))</f>
        <v/>
      </c>
      <c r="AH31" s="5">
        <f>POWER(10,(W31+(0.5*POWER(W33,2))))</f>
        <v/>
      </c>
      <c r="AI31" s="5">
        <f>POWER(10,(X31+(0.5*POWER(X33,2))))</f>
        <v/>
      </c>
      <c r="AJ31" s="5">
        <f>POWER(10,(Y31+(0.5*POWER(Y33,2))))</f>
        <v/>
      </c>
      <c r="AK31" s="5">
        <f>POWER(10,(Z31+(0.5*POWER(Z33,2))))</f>
        <v/>
      </c>
      <c r="AL31" s="5">
        <f>POWER(10,(AA31+(0.5*POWER(AA33,2))))</f>
        <v/>
      </c>
    </row>
    <row r="32">
      <c r="A32" s="16" t="n"/>
      <c r="B32" s="2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t="inlineStr">
        <is>
          <t>sigLOS</t>
        </is>
      </c>
      <c r="R32">
        <f>_xlfn.STDEV.S(R2,R3,R8,R9,R10,R11,R13,R14,R16,R17,R18,R20,R21,R24,R26,R27)</f>
        <v/>
      </c>
      <c r="S32">
        <f>_xlfn.STDEV.S(S2,S3,S8,S9,S10,S11,S13,S14,S16,S17,S18,S20,S21,S24,S26,S27)</f>
        <v/>
      </c>
      <c r="T32">
        <f>_xlfn.STDEV.S(T2,T3,T8,T9,T10,T11,T13,T14,T16,T17,T18,T20,T21,T24,T26,T27)</f>
        <v/>
      </c>
      <c r="U32">
        <f>_xlfn.STDEV.S(U2,U3,U8,U9,U10,U11,U13,U14,U16,U17,U18,U20,U21,U24,U26,U27)</f>
        <v/>
      </c>
      <c r="V32">
        <f>_xlfn.STDEV.S(V2,V3,V8,V9,V10,V11,V13,V14,V16,V17,V18,V20,V21,V24,V26,V27)</f>
        <v/>
      </c>
      <c r="W32">
        <f>_xlfn.STDEV.S(W2,W3,W8,W9,W10,W11,W13,W14,W16,W17,W18,W20,W21,W24,W26,W27)</f>
        <v/>
      </c>
      <c r="X32">
        <f>_xlfn.STDEV.S(X2,X3,X8,X9,X10,X11,X13,X14,X16,X17,X18,X20,X21,X24,X26,X27)</f>
        <v/>
      </c>
      <c r="Y32">
        <f>_xlfn.STDEV.S(Y2,Y3,Y8,Y9,Y10,Y11,Y13,Y14,Y16,Y17,Y18,Y20,Y21,Y24,Y26,Y27)</f>
        <v/>
      </c>
      <c r="Z32">
        <f>_xlfn.STDEV.S(Z2,Z3,Z8,Z9,Z10,Z11,Z13,Z14,Z16,Z17,Z18,Z20,Z21,Z24,Z26,Z27)</f>
        <v/>
      </c>
      <c r="AA32">
        <f>_xlfn.STDEV.S(AA2,AA3,AA8,AA9,AA10,AA11,AA13,AA14,AA16,AA17,AA18,AA20,AA21,AA24,AA26,AA27)</f>
        <v/>
      </c>
    </row>
    <row r="33">
      <c r="A33" s="16" t="n"/>
      <c r="B33" s="2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t="inlineStr">
        <is>
          <t>sigNLOS</t>
        </is>
      </c>
      <c r="R33">
        <f>_xlfn.STDEV.S(R4,R5,R6,R7,R15,R19,R22,R23,R25,R28,R29)</f>
        <v/>
      </c>
      <c r="S33">
        <f>_xlfn.STDEV.S(S4,S5,S6,S7,S15,S19,S22,S23,S25,S28,S29)</f>
        <v/>
      </c>
      <c r="T33">
        <f>_xlfn.STDEV.S(T4,T5,T6,T7,T15,T19,T22,T23,T25,T28,T29)</f>
        <v/>
      </c>
      <c r="U33">
        <f>_xlfn.STDEV.S(U4,U5,U6,U7,U15,U19,U22,U23,U25,U28,U29)</f>
        <v/>
      </c>
      <c r="V33">
        <f>_xlfn.STDEV.S(V4,V5,V6,V7,V15,V19,V22,V23,V25,V28,V29)</f>
        <v/>
      </c>
      <c r="W33">
        <f>_xlfn.STDEV.S(W4,W5,W6,W7,W15,W19,W22,W23,W25,W28,W29)</f>
        <v/>
      </c>
      <c r="X33">
        <f>_xlfn.STDEV.S(X4,X5,X6,X7,X15,X19,X22,X23,X25,X28,X29)</f>
        <v/>
      </c>
      <c r="Y33">
        <f>_xlfn.STDEV.S(Y4,Y5,Y6,Y7,Y15,Y19,Y22,Y23,Y25,Y28,Y29)</f>
        <v/>
      </c>
      <c r="Z33">
        <f>_xlfn.STDEV.S(Z4,Z5,Z6,Z7,Z15,Z19,Z22,Z23,Z25,Z28,Z29)</f>
        <v/>
      </c>
      <c r="AA33">
        <f>_xlfn.STDEV.S(AA4,AA5,AA6,AA7,AA15,AA19,AA22,AA23,AA25,AA28,AA29)</f>
        <v/>
      </c>
    </row>
    <row r="34">
      <c r="A34" s="16" t="n"/>
      <c r="B34" s="2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t="inlineStr">
        <is>
          <t>meanLOS</t>
        </is>
      </c>
      <c r="R34">
        <f>R30+(0.5*(R32^2))</f>
        <v/>
      </c>
      <c r="S34">
        <f>S30+(0.5*(S32^2))</f>
        <v/>
      </c>
      <c r="T34">
        <f>T30+(0.5*(T32^2))</f>
        <v/>
      </c>
      <c r="U34">
        <f>U30+(0.5*(U32^2))</f>
        <v/>
      </c>
      <c r="V34">
        <f>V30+(0.5*(V32^2))</f>
        <v/>
      </c>
      <c r="W34">
        <f>W30+(0.5*(W32^2))</f>
        <v/>
      </c>
      <c r="X34">
        <f>X30+(0.5*(X32^2))</f>
        <v/>
      </c>
      <c r="Y34">
        <f>Y30+(0.5*(Y32^2))</f>
        <v/>
      </c>
      <c r="Z34">
        <f>Z30+(0.5*(Z32^2))</f>
        <v/>
      </c>
      <c r="AA34">
        <f>AA30+(0.5*(AA32^2))</f>
        <v/>
      </c>
      <c r="AF34" s="5">
        <f>POWER(10,(U34+(0.5*POWER(U36,2))))</f>
        <v/>
      </c>
      <c r="AH34" s="5">
        <f>POWER(10,(W34+(0.5*POWER(W36,2))))</f>
        <v/>
      </c>
      <c r="AJ34" s="5">
        <f>POWER(10,(Y34+(0.5*POWER(Y36,2))))</f>
        <v/>
      </c>
      <c r="AL34" s="5">
        <f>POWER(10,(AA34+(0.5*POWER(AA36,2))))</f>
        <v/>
      </c>
    </row>
    <row r="35">
      <c r="A35" s="16" t="n"/>
      <c r="B35" s="2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t="inlineStr">
        <is>
          <t>meanNLOS</t>
        </is>
      </c>
      <c r="R35">
        <f>R31+(0.5*(R33^2))</f>
        <v/>
      </c>
      <c r="S35">
        <f>S31+(0.5*(S33^2))</f>
        <v/>
      </c>
      <c r="T35">
        <f>T31+(0.5*(T33^2))</f>
        <v/>
      </c>
      <c r="U35">
        <f>U31+(0.5*(U33^2))</f>
        <v/>
      </c>
      <c r="V35">
        <f>V31+(0.5*(V33^2))</f>
        <v/>
      </c>
      <c r="W35">
        <f>W31+(0.5*(W33^2))</f>
        <v/>
      </c>
      <c r="X35">
        <f>X31+(0.5*(X33^2))</f>
        <v/>
      </c>
      <c r="Y35">
        <f>Y31+(0.5*(Y33^2))</f>
        <v/>
      </c>
      <c r="Z35">
        <f>Z31+(0.5*(Z33^2))</f>
        <v/>
      </c>
      <c r="AA35">
        <f>AA31+(0.5*(AA33^2))</f>
        <v/>
      </c>
      <c r="AF35" s="5">
        <f>POWER(10,(U35+(0.5*POWER(U37,2))))</f>
        <v/>
      </c>
      <c r="AH35" s="5">
        <f>POWER(10,(W35+(0.5*POWER(W37,2))))</f>
        <v/>
      </c>
      <c r="AJ35" s="5">
        <f>POWER(10,(Y35+(0.5*POWER(Y37,2))))</f>
        <v/>
      </c>
      <c r="AL35" s="5">
        <f>POWER(10,(AA35+(0.5*POWER(AA37,2))))</f>
        <v/>
      </c>
    </row>
    <row r="36">
      <c r="A36" s="16" t="n"/>
      <c r="B36" s="2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16" t="n"/>
      <c r="B37" s="2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16" t="n"/>
      <c r="B38" s="2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</sheetData>
  <mergeCells count="8">
    <mergeCell ref="B23:B26"/>
    <mergeCell ref="F12:P12"/>
    <mergeCell ref="A2:A29"/>
    <mergeCell ref="B15:B18"/>
    <mergeCell ref="B11:B14"/>
    <mergeCell ref="B2:B10"/>
    <mergeCell ref="B19:B22"/>
    <mergeCell ref="B27:B29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I3" sqref="I3"/>
    </sheetView>
  </sheetViews>
  <sheetFormatPr baseColWidth="8" defaultRowHeight="14.5"/>
  <sheetData>
    <row r="1">
      <c r="A1" t="inlineStr">
        <is>
          <t>Freq.</t>
        </is>
      </c>
      <c r="B1" t="inlineStr">
        <is>
          <t>TX</t>
        </is>
      </c>
      <c r="C1" t="inlineStr">
        <is>
          <t>RX</t>
        </is>
      </c>
      <c r="D1" t="inlineStr">
        <is>
          <t>Loc Type</t>
        </is>
      </c>
      <c r="E1" t="inlineStr">
        <is>
          <t>TR Sep</t>
        </is>
      </c>
      <c r="F1" t="inlineStr">
        <is>
          <t>PL</t>
        </is>
      </c>
      <c r="G1" t="inlineStr">
        <is>
          <t>Mean Dir DS</t>
        </is>
      </c>
      <c r="H1" t="inlineStr">
        <is>
          <t>Omni DS</t>
        </is>
      </c>
      <c r="I1" t="inlineStr">
        <is>
          <t>Mean Lobe ASA</t>
        </is>
      </c>
      <c r="J1" t="inlineStr">
        <is>
          <t>Omni ASA</t>
        </is>
      </c>
      <c r="K1" t="inlineStr">
        <is>
          <t>Mean Lobe ASD</t>
        </is>
      </c>
      <c r="L1" t="inlineStr">
        <is>
          <t>Omni ASD</t>
        </is>
      </c>
      <c r="M1" t="inlineStr">
        <is>
          <t>Mean Lobe ZSA</t>
        </is>
      </c>
      <c r="N1" t="inlineStr">
        <is>
          <t>Omni ZSA</t>
        </is>
      </c>
      <c r="O1" t="inlineStr">
        <is>
          <t>Mean Lobe ZSD</t>
        </is>
      </c>
      <c r="P1" t="inlineStr">
        <is>
          <t>Omni ZSD</t>
        </is>
      </c>
    </row>
    <row r="2">
      <c r="A2" s="16" t="inlineStr">
        <is>
          <t>142 GHz</t>
        </is>
      </c>
      <c r="B2" s="16" t="inlineStr">
        <is>
          <t>TX1</t>
        </is>
      </c>
      <c r="C2" t="inlineStr">
        <is>
          <t>RX1</t>
        </is>
      </c>
      <c r="D2" t="inlineStr">
        <is>
          <t>LOS</t>
        </is>
      </c>
      <c r="E2" t="n">
        <v>24.43</v>
      </c>
      <c r="F2" t="n">
        <v>102.638833315253</v>
      </c>
      <c r="G2" t="n">
        <v>50.8465792520663</v>
      </c>
      <c r="H2" t="n">
        <v>15.7157945430355</v>
      </c>
      <c r="I2" t="n">
        <v>2.2979407466636</v>
      </c>
      <c r="J2" t="n">
        <v>21.2027475774185</v>
      </c>
      <c r="K2" t="n">
        <v>2.75871611619607</v>
      </c>
      <c r="L2" t="n">
        <v>20.1264183017582</v>
      </c>
      <c r="M2" t="n">
        <v>3.06369939601049</v>
      </c>
      <c r="N2" t="n">
        <v>5.43263658146136</v>
      </c>
      <c r="O2" t="n">
        <v>3.19306055238894</v>
      </c>
      <c r="P2" t="n">
        <v>3.34161733258952</v>
      </c>
    </row>
    <row r="3">
      <c r="C3" t="inlineStr">
        <is>
          <t>RX5</t>
        </is>
      </c>
      <c r="D3" t="inlineStr">
        <is>
          <t>LOS</t>
        </is>
      </c>
      <c r="E3" t="n">
        <v>27.22</v>
      </c>
      <c r="F3" t="n">
        <v>102.141585146539</v>
      </c>
      <c r="G3" t="n">
        <v>0.0355102592630813</v>
      </c>
      <c r="H3" t="n">
        <v>6.09835170103864</v>
      </c>
      <c r="I3" t="n">
        <v>2.48883745212164</v>
      </c>
      <c r="J3" t="n">
        <v>2.48883745212164</v>
      </c>
      <c r="K3" t="n">
        <v>2.47915965125502</v>
      </c>
      <c r="L3" t="n">
        <v>4.36022947322487</v>
      </c>
      <c r="M3" t="n">
        <v>3.31787850347805</v>
      </c>
      <c r="N3" t="n">
        <v>6.62788986283275</v>
      </c>
      <c r="O3" t="n">
        <v>3.3049722868925</v>
      </c>
      <c r="P3" t="n">
        <v>3.41543325353394</v>
      </c>
    </row>
    <row r="4">
      <c r="C4" t="inlineStr">
        <is>
          <t>RX9</t>
        </is>
      </c>
      <c r="D4" t="inlineStr">
        <is>
          <t>NLOS</t>
        </is>
      </c>
      <c r="E4" t="n">
        <v>32.65</v>
      </c>
      <c r="F4" t="n">
        <v>126.495989292562</v>
      </c>
      <c r="G4" t="n">
        <v>9.005973957235961</v>
      </c>
      <c r="H4" t="n">
        <v>19.1323840853331</v>
      </c>
      <c r="I4" t="n">
        <v>3.94917602759616</v>
      </c>
      <c r="J4" t="n">
        <v>68.7801806033598</v>
      </c>
      <c r="K4" t="n">
        <v>2.54561432261505</v>
      </c>
      <c r="L4" t="n">
        <v>2.54561432261505</v>
      </c>
      <c r="M4" t="n">
        <v>3.6580449753899</v>
      </c>
      <c r="N4" t="n">
        <v>6.2705355371728</v>
      </c>
      <c r="O4" t="n">
        <v>3.39359667913791</v>
      </c>
      <c r="P4" t="n">
        <v>3.39359667913791</v>
      </c>
    </row>
    <row r="5">
      <c r="C5" t="inlineStr">
        <is>
          <t>RX14</t>
        </is>
      </c>
      <c r="D5" t="inlineStr">
        <is>
          <t>NLOS</t>
        </is>
      </c>
      <c r="E5" t="n">
        <v>45.95</v>
      </c>
      <c r="F5" t="n">
        <v>129.808204363597</v>
      </c>
      <c r="G5" t="n">
        <v>4.40296935375117</v>
      </c>
      <c r="H5" t="n">
        <v>13.1434170658733</v>
      </c>
      <c r="I5" t="n">
        <v>5.30235059122258</v>
      </c>
      <c r="J5" t="n">
        <v>55.027848254377</v>
      </c>
      <c r="K5" t="n">
        <v>2.47530854074504</v>
      </c>
      <c r="L5" t="n">
        <v>2.47530854074504</v>
      </c>
      <c r="M5" t="n">
        <v>3.07999343362152</v>
      </c>
      <c r="N5" t="n">
        <v>5.30169222956744</v>
      </c>
      <c r="O5" t="n">
        <v>3.29983650049153</v>
      </c>
      <c r="P5" t="n">
        <v>3.29983650049153</v>
      </c>
    </row>
    <row r="6">
      <c r="C6" t="inlineStr">
        <is>
          <t>RX16</t>
        </is>
      </c>
      <c r="D6" t="inlineStr">
        <is>
          <t>NLOS</t>
        </is>
      </c>
      <c r="E6" t="n">
        <v>49.4</v>
      </c>
      <c r="F6" t="n">
        <v>126.950128700832</v>
      </c>
      <c r="G6" t="n">
        <v>6.19036849830236</v>
      </c>
      <c r="H6" t="n">
        <v>23.8737244988228</v>
      </c>
      <c r="I6" t="n">
        <v>2.58095469018327</v>
      </c>
      <c r="J6" t="n">
        <v>50.559827555975</v>
      </c>
      <c r="K6" t="n">
        <v>2.58043654684879</v>
      </c>
      <c r="L6" t="n">
        <v>3.10025033112689</v>
      </c>
      <c r="M6" t="n">
        <v>4.89565019231413</v>
      </c>
      <c r="N6" t="n">
        <v>6.98421948786897</v>
      </c>
      <c r="O6" t="n">
        <v>3.4400368888646</v>
      </c>
      <c r="P6" t="n">
        <v>3.4237101012716</v>
      </c>
    </row>
    <row r="7">
      <c r="C7" t="inlineStr">
        <is>
          <t>RX18</t>
        </is>
      </c>
      <c r="D7" t="inlineStr">
        <is>
          <t>NLOS</t>
        </is>
      </c>
      <c r="E7" t="n">
        <v>52.84</v>
      </c>
      <c r="F7" t="n">
        <v>137.069436389916</v>
      </c>
      <c r="G7" t="n">
        <v>0.820888536254152</v>
      </c>
      <c r="H7" t="n">
        <v>56.4867764578577</v>
      </c>
      <c r="I7" t="n">
        <v>3.22832873820042</v>
      </c>
      <c r="J7" t="n">
        <v>40.2299697822099</v>
      </c>
      <c r="K7" t="n">
        <v>2.44892978816806</v>
      </c>
      <c r="L7" t="n">
        <v>2.44892978816806</v>
      </c>
      <c r="M7" t="n">
        <v>2.66214862822983</v>
      </c>
      <c r="N7" t="n">
        <v>2.63456130000146</v>
      </c>
      <c r="O7" t="n">
        <v>3.26465840307898</v>
      </c>
      <c r="P7" t="n">
        <v>3.26465840307898</v>
      </c>
    </row>
    <row r="8">
      <c r="C8" t="inlineStr">
        <is>
          <t>RX23</t>
        </is>
      </c>
      <c r="D8" t="inlineStr">
        <is>
          <t>LOS</t>
        </is>
      </c>
      <c r="E8" t="n">
        <v>43.34</v>
      </c>
      <c r="F8" t="n">
        <v>110.835800783751</v>
      </c>
      <c r="G8" t="n">
        <v>4.37322092387659</v>
      </c>
      <c r="H8" t="n">
        <v>21.997939127625</v>
      </c>
      <c r="I8" t="n">
        <v>2.9650608376058</v>
      </c>
      <c r="J8" t="n">
        <v>51.726676413546</v>
      </c>
      <c r="K8" t="n">
        <v>2.96887099656678</v>
      </c>
      <c r="L8" t="n">
        <v>5.4687699033272</v>
      </c>
      <c r="M8" t="n">
        <v>4.74666938477395</v>
      </c>
      <c r="N8" t="n">
        <v>6.14204263842792</v>
      </c>
      <c r="O8" t="n">
        <v>3.72198391307369</v>
      </c>
      <c r="P8" t="n">
        <v>3.35699551613107</v>
      </c>
    </row>
    <row r="9">
      <c r="C9" t="inlineStr">
        <is>
          <t>RX27</t>
        </is>
      </c>
      <c r="D9" t="inlineStr">
        <is>
          <t>LOS</t>
        </is>
      </c>
      <c r="E9" t="n">
        <v>38.03</v>
      </c>
      <c r="F9" t="n">
        <v>104.407280372534</v>
      </c>
      <c r="G9" t="n">
        <v>2.78583243666743</v>
      </c>
      <c r="H9" t="n">
        <v>9.26222297527281</v>
      </c>
      <c r="I9" t="n">
        <v>2.45814826260301</v>
      </c>
      <c r="J9" t="n">
        <v>2.45814826260301</v>
      </c>
      <c r="K9" t="n">
        <v>2.57091126246376</v>
      </c>
      <c r="L9" t="n">
        <v>2.78019010402569</v>
      </c>
      <c r="M9" t="n">
        <v>5.14747245421376</v>
      </c>
      <c r="N9" t="n">
        <v>7.18907175066087</v>
      </c>
      <c r="O9" t="n">
        <v>3.42733354305927</v>
      </c>
      <c r="P9" t="n">
        <v>3.42238792821082</v>
      </c>
    </row>
    <row r="10">
      <c r="C10" t="inlineStr">
        <is>
          <t>RX31</t>
        </is>
      </c>
      <c r="D10" t="inlineStr">
        <is>
          <t>LOS</t>
        </is>
      </c>
      <c r="E10" t="n">
        <v>36.09</v>
      </c>
      <c r="F10" t="n">
        <v>105.059205772312</v>
      </c>
      <c r="G10" t="n">
        <v>16.8194519817882</v>
      </c>
      <c r="H10" t="n">
        <v>27.9442440556698</v>
      </c>
      <c r="I10" t="n">
        <v>3.01087695393463</v>
      </c>
      <c r="J10" t="n">
        <v>3.01087695393463</v>
      </c>
      <c r="K10" t="n">
        <v>2.5522934116675</v>
      </c>
      <c r="L10" t="n">
        <v>2.98461088404688</v>
      </c>
      <c r="M10" t="n">
        <v>4.31887354311055</v>
      </c>
      <c r="N10" t="n">
        <v>5.09080812233789</v>
      </c>
      <c r="O10" t="n">
        <v>3.40250410299031</v>
      </c>
      <c r="P10" t="n">
        <v>3.3998377282662</v>
      </c>
    </row>
    <row r="11">
      <c r="B11" t="inlineStr">
        <is>
          <t>TX2</t>
        </is>
      </c>
      <c r="C11" t="inlineStr">
        <is>
          <t>RX1</t>
        </is>
      </c>
      <c r="D11" t="inlineStr">
        <is>
          <t>LOS</t>
        </is>
      </c>
      <c r="E11" t="n">
        <v>83.59999999999999</v>
      </c>
      <c r="F11" t="n">
        <v>112.048285407485</v>
      </c>
      <c r="G11" t="n">
        <v>46.21367487526</v>
      </c>
      <c r="H11" t="n">
        <v>31.3870580151346</v>
      </c>
      <c r="I11" t="n">
        <v>2.45115972618228</v>
      </c>
      <c r="J11" t="n">
        <v>2.45115972618228</v>
      </c>
      <c r="K11" t="n">
        <v>2.51945049754552</v>
      </c>
      <c r="L11" t="n">
        <v>6.40779735682649</v>
      </c>
      <c r="M11" t="n">
        <v>5.12941973796945</v>
      </c>
      <c r="N11" t="n">
        <v>6.53815061532866</v>
      </c>
      <c r="O11" t="n">
        <v>3.35870411362515</v>
      </c>
      <c r="P11" t="n">
        <v>3.35427190326619</v>
      </c>
    </row>
    <row r="12">
      <c r="C12" t="inlineStr">
        <is>
          <t>RX14</t>
        </is>
      </c>
      <c r="D12" t="inlineStr">
        <is>
          <t>NLOS</t>
        </is>
      </c>
      <c r="E12" t="n">
        <v>102.7</v>
      </c>
      <c r="F12" t="inlineStr">
        <is>
          <t>Outage</t>
        </is>
      </c>
    </row>
    <row r="13">
      <c r="C13" t="inlineStr">
        <is>
          <t>RX35</t>
        </is>
      </c>
      <c r="D13" t="inlineStr">
        <is>
          <t>LOS</t>
        </is>
      </c>
      <c r="E13" t="n">
        <v>59.31</v>
      </c>
      <c r="F13" t="n">
        <v>109.245860407103</v>
      </c>
      <c r="G13" t="n">
        <v>15.6941142870705</v>
      </c>
      <c r="H13" t="n">
        <v>26.5265600811738</v>
      </c>
      <c r="I13" t="n">
        <v>2.4846330243168</v>
      </c>
      <c r="J13" t="n">
        <v>2.4846330243168</v>
      </c>
      <c r="K13" t="n">
        <v>2.60248709779676</v>
      </c>
      <c r="L13" t="n">
        <v>2.70433072027905</v>
      </c>
      <c r="M13" t="n">
        <v>3.31227151464023</v>
      </c>
      <c r="N13" t="n">
        <v>6.61666111618464</v>
      </c>
      <c r="O13" t="n">
        <v>3.46944470435545</v>
      </c>
      <c r="P13" t="n">
        <v>3.4</v>
      </c>
    </row>
    <row r="14">
      <c r="C14" t="inlineStr">
        <is>
          <t>RX36</t>
        </is>
      </c>
      <c r="D14" t="inlineStr">
        <is>
          <t>LOS</t>
        </is>
      </c>
      <c r="E14" t="n">
        <v>36.92</v>
      </c>
      <c r="F14" t="n">
        <v>105.665050443648</v>
      </c>
      <c r="G14" t="n">
        <v>1.83639484194667</v>
      </c>
      <c r="H14" t="n">
        <v>21.3173287961019</v>
      </c>
      <c r="I14" t="n">
        <v>3.26627983577715</v>
      </c>
      <c r="J14" t="n">
        <v>3.26627983577715</v>
      </c>
      <c r="K14" t="n">
        <v>4.72572805601141</v>
      </c>
      <c r="L14" t="n">
        <v>6.53248371744092</v>
      </c>
      <c r="M14" t="n">
        <v>5.12540241322862</v>
      </c>
      <c r="N14" t="n">
        <v>6.63819817835821</v>
      </c>
      <c r="O14" t="n">
        <v>2.31159127797405</v>
      </c>
      <c r="P14" t="n">
        <v>2.65418660311894</v>
      </c>
    </row>
    <row r="15">
      <c r="B15" t="inlineStr">
        <is>
          <t>TX3</t>
        </is>
      </c>
      <c r="C15" t="inlineStr">
        <is>
          <t>RX1</t>
        </is>
      </c>
      <c r="D15" t="inlineStr">
        <is>
          <t>NLOS</t>
        </is>
      </c>
      <c r="E15" t="n">
        <v>72.88</v>
      </c>
      <c r="F15" t="n">
        <v>130.637160583058</v>
      </c>
      <c r="G15" t="n">
        <v>7.45488407675869</v>
      </c>
      <c r="H15" t="n">
        <v>15.4695084852466</v>
      </c>
      <c r="I15" t="n">
        <v>3.511677152821</v>
      </c>
      <c r="J15" t="n">
        <v>12.0176523927087</v>
      </c>
      <c r="K15" t="n">
        <v>5.31230059433623</v>
      </c>
      <c r="L15" t="n">
        <v>5.31230059433623</v>
      </c>
      <c r="M15" t="n">
        <v>1.76642235053794</v>
      </c>
      <c r="N15" t="n">
        <v>1.70646310140537</v>
      </c>
      <c r="O15" t="n">
        <v>1.79761394327576</v>
      </c>
      <c r="P15" t="n">
        <v>1.79761394327576</v>
      </c>
    </row>
    <row r="16">
      <c r="C16" t="inlineStr">
        <is>
          <t>RX35</t>
        </is>
      </c>
      <c r="D16" t="inlineStr">
        <is>
          <t>LOS</t>
        </is>
      </c>
      <c r="E16" t="n">
        <v>74.8</v>
      </c>
      <c r="F16" t="n">
        <v>116.783518327827</v>
      </c>
      <c r="G16" t="n">
        <v>0.901093776760878</v>
      </c>
      <c r="H16" t="n">
        <v>27.1664344646788</v>
      </c>
      <c r="I16" t="n">
        <v>3.11507536441332</v>
      </c>
      <c r="J16" t="n">
        <v>13.7070987198247</v>
      </c>
      <c r="K16" t="n">
        <v>3.12667876979038</v>
      </c>
      <c r="L16" t="n">
        <v>24.3509876721796</v>
      </c>
      <c r="M16" t="n">
        <v>2.87522240774316</v>
      </c>
      <c r="N16" t="n">
        <v>6.24916147583412</v>
      </c>
      <c r="O16" t="n">
        <v>2.85372279494467</v>
      </c>
      <c r="P16" t="n">
        <v>2.88448811999944</v>
      </c>
    </row>
    <row r="17">
      <c r="C17" t="inlineStr">
        <is>
          <t>RX36</t>
        </is>
      </c>
      <c r="D17" t="inlineStr">
        <is>
          <t>LOS</t>
        </is>
      </c>
      <c r="E17" t="n">
        <v>82.48</v>
      </c>
      <c r="F17" t="n">
        <v>114.669616204173</v>
      </c>
      <c r="G17" t="n">
        <v>0.5315701145623341</v>
      </c>
      <c r="H17" t="n">
        <v>7.64403441556786</v>
      </c>
      <c r="I17" t="n">
        <v>2.45382935174455</v>
      </c>
      <c r="J17" t="n">
        <v>2.45382935174455</v>
      </c>
      <c r="K17" t="n">
        <v>2.49727803807059</v>
      </c>
      <c r="L17" t="n">
        <v>2.49727803807059</v>
      </c>
      <c r="M17" t="n">
        <v>3.27119231764627</v>
      </c>
      <c r="N17" t="n">
        <v>6.53439886474746</v>
      </c>
      <c r="O17" t="n">
        <v>3.32913482795959</v>
      </c>
      <c r="P17" t="n">
        <v>3.76381422083596</v>
      </c>
    </row>
    <row r="18">
      <c r="C18" t="inlineStr">
        <is>
          <t>RX37</t>
        </is>
      </c>
      <c r="D18" t="inlineStr">
        <is>
          <t>LOS</t>
        </is>
      </c>
      <c r="E18" t="n">
        <v>96.40000000000001</v>
      </c>
      <c r="F18" t="n">
        <v>120.619298684967</v>
      </c>
      <c r="G18" t="n">
        <v>0.0565912668158186</v>
      </c>
      <c r="H18" t="n">
        <v>11.9586627826052</v>
      </c>
      <c r="I18" t="n">
        <v>2.80581477430337</v>
      </c>
      <c r="J18" t="n">
        <v>2.80581477430337</v>
      </c>
      <c r="K18" t="n">
        <v>2.46786774646473</v>
      </c>
      <c r="L18" t="n">
        <v>2.46786774646473</v>
      </c>
      <c r="M18" t="n">
        <v>2.15733754617237</v>
      </c>
      <c r="N18" t="n">
        <v>4.98144812756142</v>
      </c>
      <c r="O18" t="n">
        <v>3.28991358731963</v>
      </c>
      <c r="P18" t="n">
        <v>3.28991358731963</v>
      </c>
    </row>
    <row r="19">
      <c r="B19" t="inlineStr">
        <is>
          <t>TX4</t>
        </is>
      </c>
      <c r="C19" t="inlineStr">
        <is>
          <t>RX1</t>
        </is>
      </c>
      <c r="D19" t="inlineStr">
        <is>
          <t>NLOS</t>
        </is>
      </c>
      <c r="E19" t="n">
        <v>117.43</v>
      </c>
      <c r="F19" t="n">
        <v>129.968557929382</v>
      </c>
      <c r="G19" t="n">
        <v>0.1</v>
      </c>
      <c r="H19" t="n">
        <v>26.3726624461843</v>
      </c>
      <c r="I19" t="n">
        <v>2.44892978815853</v>
      </c>
      <c r="J19" t="n">
        <v>2.44892978815853</v>
      </c>
      <c r="K19" t="n">
        <v>3.43473947282176</v>
      </c>
      <c r="L19" t="n">
        <v>3.43473947282176</v>
      </c>
      <c r="M19" t="n">
        <v>3.2646584030669</v>
      </c>
      <c r="N19" t="n">
        <v>6.52131521755489</v>
      </c>
      <c r="O19" t="n">
        <v>2.32621287628683</v>
      </c>
      <c r="P19" t="n">
        <v>2.32621287628683</v>
      </c>
    </row>
    <row r="20">
      <c r="C20" t="inlineStr">
        <is>
          <t>RX3</t>
        </is>
      </c>
      <c r="D20" t="inlineStr">
        <is>
          <t>LOS</t>
        </is>
      </c>
      <c r="E20" t="n">
        <v>117.25</v>
      </c>
      <c r="F20" t="n">
        <v>115.032287870517</v>
      </c>
      <c r="G20" t="n">
        <v>12.4848056817582</v>
      </c>
      <c r="H20" t="n">
        <v>16.9678446201476</v>
      </c>
      <c r="I20" t="n">
        <v>3.9304253048517</v>
      </c>
      <c r="J20" t="n">
        <v>3.9304253048517</v>
      </c>
      <c r="K20" t="n">
        <v>2.40478376932395</v>
      </c>
      <c r="L20" t="n">
        <v>2.74067662804865</v>
      </c>
      <c r="M20" t="n">
        <v>0.744511780533716</v>
      </c>
      <c r="N20" t="n">
        <v>3.71990533082887</v>
      </c>
      <c r="O20" t="n">
        <v>3.20578718953312</v>
      </c>
      <c r="P20" t="n">
        <v>3.16498709536958</v>
      </c>
    </row>
    <row r="21">
      <c r="C21" t="inlineStr">
        <is>
          <t>RX37</t>
        </is>
      </c>
      <c r="D21" t="inlineStr">
        <is>
          <t>LOS</t>
        </is>
      </c>
      <c r="E21" t="n">
        <v>44.31</v>
      </c>
      <c r="F21" t="n">
        <v>106.820101315278</v>
      </c>
      <c r="G21" t="n">
        <v>1.10066202866675</v>
      </c>
      <c r="H21" t="n">
        <v>9.782463408593401</v>
      </c>
      <c r="I21" t="n">
        <v>5.75071199294748</v>
      </c>
      <c r="J21" t="n">
        <v>20.20668148751</v>
      </c>
      <c r="K21" t="n">
        <v>3.84169543371179</v>
      </c>
      <c r="L21" t="n">
        <v>20.9249000103768</v>
      </c>
      <c r="M21" t="n">
        <v>2.56310008390808</v>
      </c>
      <c r="N21" t="n">
        <v>5.15419046236701</v>
      </c>
      <c r="O21" t="n">
        <v>2.66376506983885</v>
      </c>
      <c r="P21" t="n">
        <v>2.5816544326892</v>
      </c>
    </row>
    <row r="22">
      <c r="C22" t="inlineStr">
        <is>
          <t>RX38</t>
        </is>
      </c>
      <c r="D22" t="inlineStr">
        <is>
          <t>NLOS</t>
        </is>
      </c>
      <c r="E22" t="n">
        <v>52.01</v>
      </c>
      <c r="F22" t="n">
        <v>139.91537497352</v>
      </c>
      <c r="G22" t="n">
        <v>0.1</v>
      </c>
      <c r="H22" t="n">
        <v>0.1</v>
      </c>
      <c r="I22" t="n">
        <v>3.43412368953039</v>
      </c>
      <c r="J22" t="n">
        <v>3.43412368953039</v>
      </c>
      <c r="K22" t="n">
        <v>3.4341236895306</v>
      </c>
      <c r="L22" t="n">
        <v>3.4341236895306</v>
      </c>
      <c r="M22" t="n">
        <v>2.42414095149944</v>
      </c>
      <c r="N22" t="n">
        <v>2.42414095149944</v>
      </c>
      <c r="O22" t="n">
        <v>2.42414095149929</v>
      </c>
      <c r="P22" t="n">
        <v>2.42414095149929</v>
      </c>
    </row>
    <row r="23">
      <c r="B23" t="inlineStr">
        <is>
          <t>TX5</t>
        </is>
      </c>
      <c r="C23" t="inlineStr">
        <is>
          <t>RX1</t>
        </is>
      </c>
      <c r="D23" t="inlineStr">
        <is>
          <t>NLOS</t>
        </is>
      </c>
      <c r="E23" t="n">
        <v>61.45</v>
      </c>
      <c r="F23" t="n">
        <v>115.429611456873</v>
      </c>
      <c r="G23" t="n">
        <v>12.6126968372822</v>
      </c>
      <c r="H23" t="n">
        <v>42.0265566206001</v>
      </c>
      <c r="I23" t="n">
        <v>2.76910528741515</v>
      </c>
      <c r="J23" t="n">
        <v>57.8181634117985</v>
      </c>
      <c r="K23" t="n">
        <v>3.72101940542132</v>
      </c>
      <c r="L23" t="n">
        <v>10.6634167703752</v>
      </c>
      <c r="M23" t="n">
        <v>4.1165017940696</v>
      </c>
      <c r="N23" t="n">
        <v>7.46768840631583</v>
      </c>
      <c r="O23" t="n">
        <v>2.80670601297008</v>
      </c>
      <c r="P23" t="n">
        <v>3.04376480742692</v>
      </c>
    </row>
    <row r="24">
      <c r="C24" t="inlineStr">
        <is>
          <t>RX3</t>
        </is>
      </c>
      <c r="D24" t="inlineStr">
        <is>
          <t>LOS</t>
        </is>
      </c>
      <c r="E24" t="n">
        <v>61.35</v>
      </c>
      <c r="F24" t="n">
        <v>107.198401200598</v>
      </c>
      <c r="G24" t="n">
        <v>1.49727920094855</v>
      </c>
      <c r="H24" t="n">
        <v>14.7329862987608</v>
      </c>
      <c r="I24" t="n">
        <v>2.45634406690795</v>
      </c>
      <c r="J24" t="n">
        <v>2.45634406690795</v>
      </c>
      <c r="K24" t="n">
        <v>2.47879575221734</v>
      </c>
      <c r="L24" t="n">
        <v>2.54807035548634</v>
      </c>
      <c r="M24" t="n">
        <v>3.27454587359784</v>
      </c>
      <c r="N24" t="n">
        <v>6.54111416975657</v>
      </c>
      <c r="O24" t="n">
        <v>3.30448699592028</v>
      </c>
      <c r="P24" t="n">
        <v>3.29444377501526</v>
      </c>
    </row>
    <row r="25">
      <c r="C25" t="inlineStr">
        <is>
          <t>RX10</t>
        </is>
      </c>
      <c r="D25" t="inlineStr">
        <is>
          <t>NLOS</t>
        </is>
      </c>
      <c r="E25" t="n">
        <v>65.63</v>
      </c>
      <c r="F25" t="n">
        <v>122.648049276166</v>
      </c>
      <c r="G25" t="n">
        <v>2.04639221620676</v>
      </c>
      <c r="H25" t="n">
        <v>36.1558671280158</v>
      </c>
      <c r="I25" t="n">
        <v>3.47164407698159</v>
      </c>
      <c r="J25" t="n">
        <v>3.47164407698159</v>
      </c>
      <c r="K25" t="n">
        <v>3.5338372522905</v>
      </c>
      <c r="L25" t="n">
        <v>17.4447210069489</v>
      </c>
      <c r="M25" t="n">
        <v>2.44119843723456</v>
      </c>
      <c r="N25" t="n">
        <v>5.18743293425537</v>
      </c>
      <c r="O25" t="n">
        <v>2.48544940446045</v>
      </c>
      <c r="P25" t="n">
        <v>2.36806317841548</v>
      </c>
    </row>
    <row r="26">
      <c r="C26" t="inlineStr">
        <is>
          <t>RX35</t>
        </is>
      </c>
      <c r="D26" t="inlineStr">
        <is>
          <t>LOS</t>
        </is>
      </c>
      <c r="E26" t="n">
        <v>85.64</v>
      </c>
      <c r="F26" t="n">
        <v>109.657665001166</v>
      </c>
      <c r="G26" t="n">
        <v>0.361824232857057</v>
      </c>
      <c r="H26" t="n">
        <v>1.28817746509942</v>
      </c>
      <c r="I26" t="n">
        <v>2.46381380752946</v>
      </c>
      <c r="J26" t="n">
        <v>2.46381380752946</v>
      </c>
      <c r="K26" t="n">
        <v>3.73747645094154</v>
      </c>
      <c r="L26" t="n">
        <v>3.73747645094154</v>
      </c>
      <c r="M26" t="n">
        <v>3.28450733886085</v>
      </c>
      <c r="N26" t="n">
        <v>6.56106173562622</v>
      </c>
      <c r="O26" t="n">
        <v>2.61516656668651</v>
      </c>
      <c r="P26" t="n">
        <v>2.61516656668651</v>
      </c>
    </row>
    <row r="27">
      <c r="B27" t="inlineStr">
        <is>
          <t>TX6</t>
        </is>
      </c>
      <c r="C27" t="inlineStr">
        <is>
          <t>RX1</t>
        </is>
      </c>
      <c r="D27" t="inlineStr">
        <is>
          <t>LOS</t>
        </is>
      </c>
      <c r="E27" t="n">
        <v>39.08</v>
      </c>
      <c r="F27" t="n">
        <v>105.584988260575</v>
      </c>
      <c r="G27" t="n">
        <v>2.20185134500911</v>
      </c>
      <c r="H27" t="n">
        <v>101.003254785006</v>
      </c>
      <c r="I27" t="n">
        <v>2.99082515896868</v>
      </c>
      <c r="J27" t="n">
        <v>2.99082515896868</v>
      </c>
      <c r="K27" t="n">
        <v>3.73027027261328</v>
      </c>
      <c r="L27" t="n">
        <v>11.4382021282404</v>
      </c>
      <c r="M27" t="n">
        <v>3.78646063996559</v>
      </c>
      <c r="N27" t="n">
        <v>5.41100714997389</v>
      </c>
      <c r="O27" t="n">
        <v>1.16721546346684</v>
      </c>
      <c r="P27" t="n">
        <v>1.13744881398742</v>
      </c>
    </row>
    <row r="28">
      <c r="C28" t="inlineStr">
        <is>
          <t>RX39</t>
        </is>
      </c>
      <c r="D28" t="inlineStr">
        <is>
          <t>NLOS</t>
        </is>
      </c>
      <c r="E28" t="n">
        <v>48.65</v>
      </c>
      <c r="F28" t="n">
        <v>114.744850126146</v>
      </c>
      <c r="G28" t="n">
        <v>1.7207675238922</v>
      </c>
      <c r="H28" t="n">
        <v>23.8953023379263</v>
      </c>
      <c r="I28" t="n">
        <v>3.43486264338063</v>
      </c>
      <c r="J28" t="n">
        <v>61.8248348205971</v>
      </c>
      <c r="K28" t="n">
        <v>4.15402342905336</v>
      </c>
      <c r="L28" t="n">
        <v>31.9821900788294</v>
      </c>
      <c r="M28" t="n">
        <v>2.99890289155385</v>
      </c>
      <c r="N28" t="n">
        <v>6.03404243437353</v>
      </c>
      <c r="O28" t="n">
        <v>1.8074698827725</v>
      </c>
      <c r="P28" t="n">
        <v>1.72707758313225</v>
      </c>
    </row>
    <row r="29">
      <c r="C29" t="inlineStr">
        <is>
          <t>RX40</t>
        </is>
      </c>
      <c r="D29" t="inlineStr">
        <is>
          <t>NLOS</t>
        </is>
      </c>
      <c r="E29" t="n">
        <v>53.02</v>
      </c>
      <c r="F29" t="n">
        <v>121.685216679221</v>
      </c>
      <c r="G29" t="n">
        <v>1.85359854749373</v>
      </c>
      <c r="H29" t="n">
        <v>29.8032633236379</v>
      </c>
      <c r="I29" t="n">
        <v>3.42653458278227</v>
      </c>
      <c r="J29" t="n">
        <v>34.0207917901402</v>
      </c>
      <c r="K29" t="n">
        <v>3.32742252270239</v>
      </c>
      <c r="L29" t="n">
        <v>19.775462706614</v>
      </c>
      <c r="M29" t="n">
        <v>3.75216692757676</v>
      </c>
      <c r="N29" t="n">
        <v>5.40417722883189</v>
      </c>
      <c r="O29" t="n">
        <v>2.18139068975142</v>
      </c>
      <c r="P29" t="n">
        <v>2.10022065166506</v>
      </c>
    </row>
    <row r="30">
      <c r="D30" t="inlineStr">
        <is>
          <t>LOS</t>
        </is>
      </c>
      <c r="G30" t="n">
        <v>5.756877585460202</v>
      </c>
      <c r="H30" t="n">
        <v>18.35680518421952</v>
      </c>
      <c r="I30" t="n">
        <v>2.910422277330822</v>
      </c>
      <c r="J30" t="n">
        <v>5.829223809086181</v>
      </c>
      <c r="K30" t="n">
        <v>2.93008981656356</v>
      </c>
      <c r="L30" t="n">
        <v>6.171605782016693</v>
      </c>
      <c r="M30" t="n">
        <v>3.397791767729481</v>
      </c>
      <c r="N30" t="n">
        <v>5.927414444620085</v>
      </c>
      <c r="O30" t="n">
        <v>3.001369146950171</v>
      </c>
      <c r="P30" t="n">
        <v>3.030559776483283</v>
      </c>
    </row>
    <row r="31">
      <c r="D31" t="inlineStr">
        <is>
          <t>NLOS</t>
        </is>
      </c>
      <c r="G31" t="n">
        <v>3.511456016578122</v>
      </c>
      <c r="H31" t="n">
        <v>30.228203902184</v>
      </c>
      <c r="I31" t="n">
        <v>3.375729081543203</v>
      </c>
      <c r="J31" t="n">
        <v>30.4644170610899</v>
      </c>
      <c r="K31" t="n">
        <v>3.310520168773945</v>
      </c>
      <c r="L31" t="n">
        <v>7.290189598661206</v>
      </c>
      <c r="M31" t="n">
        <v>3.129399502505918</v>
      </c>
      <c r="N31" t="n">
        <v>4.882155636328572</v>
      </c>
      <c r="O31" t="n">
        <v>2.6221624470286</v>
      </c>
      <c r="P31" t="n">
        <v>2.6130661622437</v>
      </c>
    </row>
  </sheetData>
  <mergeCells count="2">
    <mergeCell ref="B2:B10"/>
    <mergeCell ref="A2:A2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Dipankar Shakya</dc:creator>
  <dcterms:created xmlns:dcterms="http://purl.org/dc/terms/" xmlns:xsi="http://www.w3.org/2001/XMLSchema-instance" xsi:type="dcterms:W3CDTF">2015-06-05T18:17:00Z</dcterms:created>
  <dcterms:modified xmlns:dcterms="http://purl.org/dc/terms/" xmlns:xsi="http://www.w3.org/2001/XMLSchema-instance" xsi:type="dcterms:W3CDTF">2026-04-20T22:19:09Z</dcterms:modified>
  <cp:lastModifiedBy>Dipankar Shakya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CE82493AC5D442B6874199F0D93984D1_12</vt:lpwstr>
  </property>
  <property name="KSOProductBuildVer" fmtid="{D5CDD505-2E9C-101B-9397-08002B2CF9AE}" pid="3">
    <vt:lpwstr xmlns:vt="http://schemas.openxmlformats.org/officeDocument/2006/docPropsVTypes">1033-12.2.0.18283</vt:lpwstr>
  </property>
</Properties>
</file>