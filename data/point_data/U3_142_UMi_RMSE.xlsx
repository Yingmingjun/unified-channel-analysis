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ipankar\Documents\MATLABExperiments\NaveedDipankarMingjunJorgeShare\NYU\NYUprocessUSCdata\OriginalUSC-PointData\"/>
    </mc:Choice>
  </mc:AlternateContent>
  <xr:revisionPtr revIDLastSave="0" documentId="13_ncr:1_{A68AECCC-7934-4925-8D20-E3517CF59DE7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FinalTabl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7" l="1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4" i="7"/>
  <c r="V30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4" i="7"/>
  <c r="T30" i="7"/>
  <c r="U30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4" i="7"/>
</calcChain>
</file>

<file path=xl/sharedStrings.xml><?xml version="1.0" encoding="utf-8"?>
<sst xmlns="http://schemas.openxmlformats.org/spreadsheetml/2006/main" count="80" uniqueCount="32">
  <si>
    <t>Freq.</t>
  </si>
  <si>
    <t>TX</t>
  </si>
  <si>
    <t>RX</t>
  </si>
  <si>
    <t>Loc Type</t>
  </si>
  <si>
    <t>TR Sep</t>
  </si>
  <si>
    <t>Omni DS</t>
  </si>
  <si>
    <t>Omni ASA</t>
  </si>
  <si>
    <t>Omni ASD</t>
  </si>
  <si>
    <t>TX1</t>
  </si>
  <si>
    <t>RX1</t>
  </si>
  <si>
    <t>LOS</t>
  </si>
  <si>
    <t>NLOS</t>
  </si>
  <si>
    <t>RX3</t>
  </si>
  <si>
    <t>RX5</t>
  </si>
  <si>
    <t>RX9</t>
  </si>
  <si>
    <t>RX10</t>
  </si>
  <si>
    <t>USC thres</t>
  </si>
  <si>
    <t>NYU thres</t>
  </si>
  <si>
    <t>Omni PL</t>
  </si>
  <si>
    <t>145 GHz</t>
  </si>
  <si>
    <t>RX2</t>
  </si>
  <si>
    <t>RX4</t>
  </si>
  <si>
    <t>RX6</t>
  </si>
  <si>
    <t>RX7</t>
  </si>
  <si>
    <t>RX8</t>
  </si>
  <si>
    <t>RX11</t>
  </si>
  <si>
    <t>RX12</t>
  </si>
  <si>
    <t>RX13</t>
  </si>
  <si>
    <t>Point-Data table implementing NYU processing methods, USC Data (U3)</t>
  </si>
  <si>
    <t>USC orig. (U1)</t>
  </si>
  <si>
    <t>USC-U1</t>
  </si>
  <si>
    <t>NYU-U1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</si>
</sst>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2" fontId="0" fillId="0" borderId="3" xfId="0" applyNumberFormat="1" applyBorder="1"/>
    <xf numFmtId="0" fontId="0" fillId="0" borderId="4" xfId="0" applyBorder="1"/>
    <xf numFmtId="0" fontId="0" fillId="0" borderId="6" xfId="0" applyBorder="1"/>
    <xf numFmtId="0" fontId="0" fillId="2" borderId="7" xfId="0" applyFill="1" applyBorder="1"/>
    <xf numFmtId="2" fontId="0" fillId="0" borderId="6" xfId="0" applyNumberFormat="1" applyBorder="1"/>
    <xf numFmtId="2" fontId="0" fillId="2" borderId="7" xfId="0" applyNumberFormat="1" applyFill="1" applyBorder="1"/>
    <xf numFmtId="2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75B-404C-47DD-A19E-231275CD07AA}">
  <dimension ref="A1:W59"/>
  <sheetViews>
    <sheetView tabSelected="1" zoomScale="84" zoomScaleNormal="84" workbookViewId="0">
      <selection activeCell="I4" sqref="I4:K29"/>
    </sheetView>
  </sheetViews>
  <sheetFormatPr defaultRowHeight="14.5"/>
  <cols>
    <col min="6" max="6" width="9.36328125" customWidth="1"/>
    <col min="7" max="7" width="9.26953125" customWidth="1"/>
    <col min="8" max="8" width="12.08984375" customWidth="1"/>
    <col min="11" max="11" width="12.08984375" customWidth="1"/>
    <col min="12" max="12" width="8.7265625" customWidth="1"/>
    <col min="14" max="14" width="11.90625" customWidth="1"/>
    <col min="17" max="17" width="12" customWidth="1"/>
    <col min="22" max="22" width="9.7265625" customWidth="1"/>
  </cols>
  <sheetData>
    <row r="1" spans="1:23">
      <c r="A1" s="10" t="s">
        <v>28</v>
      </c>
      <c r="B1" s="10"/>
      <c r="C1" s="10"/>
      <c r="D1" s="10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3">
      <c r="A2" s="14" t="s">
        <v>0</v>
      </c>
      <c r="B2" s="14" t="s">
        <v>1</v>
      </c>
      <c r="C2" s="14" t="s">
        <v>2</v>
      </c>
      <c r="D2" s="14" t="s">
        <v>3</v>
      </c>
      <c r="E2" s="19" t="s">
        <v>4</v>
      </c>
      <c r="F2" s="13" t="s">
        <v>18</v>
      </c>
      <c r="G2" s="14"/>
      <c r="H2" s="15"/>
      <c r="I2" s="16" t="s">
        <v>5</v>
      </c>
      <c r="J2" s="17"/>
      <c r="K2" s="18"/>
      <c r="L2" s="16" t="s">
        <v>6</v>
      </c>
      <c r="M2" s="17"/>
      <c r="N2" s="18"/>
      <c r="O2" s="16" t="s">
        <v>7</v>
      </c>
      <c r="P2" s="17"/>
      <c r="Q2" s="18"/>
    </row>
    <row r="3" spans="1:23">
      <c r="A3" s="14"/>
      <c r="B3" s="14"/>
      <c r="C3" s="14"/>
      <c r="D3" s="14"/>
      <c r="E3" s="19"/>
      <c r="F3" s="5" t="s">
        <v>17</v>
      </c>
      <c r="G3" s="2" t="s">
        <v>16</v>
      </c>
      <c r="H3" s="6" t="s">
        <v>29</v>
      </c>
      <c r="I3" s="5" t="s">
        <v>17</v>
      </c>
      <c r="J3" s="2" t="s">
        <v>16</v>
      </c>
      <c r="K3" s="6" t="s">
        <v>29</v>
      </c>
      <c r="L3" s="5" t="s">
        <v>17</v>
      </c>
      <c r="M3" s="2" t="s">
        <v>16</v>
      </c>
      <c r="N3" s="6" t="s">
        <v>29</v>
      </c>
      <c r="O3" s="5" t="s">
        <v>17</v>
      </c>
      <c r="P3" s="2" t="s">
        <v>16</v>
      </c>
      <c r="Q3" s="6" t="s">
        <v>29</v>
      </c>
      <c r="T3" t="s">
        <v>31</v>
      </c>
      <c r="U3" t="s">
        <v>30</v>
      </c>
      <c r="V3" t="s">
        <v>31</v>
      </c>
      <c r="W3" t="s">
        <v>30</v>
      </c>
    </row>
    <row r="4" spans="1:23">
      <c r="A4" s="12" t="s">
        <v>19</v>
      </c>
      <c r="B4" s="12" t="s">
        <v>8</v>
      </c>
      <c r="C4" s="2" t="s">
        <v>9</v>
      </c>
      <c r="D4" s="2" t="s">
        <v>10</v>
      </c>
      <c r="E4" s="4">
        <v>64.5</v>
      </c>
      <c r="F4" s="7">
        <v>107.170925517867</v>
      </c>
      <c r="G4" s="3">
        <v>106.772539190367</v>
      </c>
      <c r="H4" s="8">
        <v>109.632264279491</v>
      </c>
      <c r="I4" s="7">
        <v>26.150438597906199</v>
      </c>
      <c r="J4" s="3">
        <v>52.382288346152897</v>
      </c>
      <c r="K4" s="8">
        <v>59.475225457348301</v>
      </c>
      <c r="L4" s="7"/>
      <c r="M4" s="3"/>
      <c r="N4" s="8"/>
      <c r="O4" s="7"/>
      <c r="P4" s="3"/>
      <c r="Q4" s="8"/>
      <c r="T4" s="9">
        <f>(H4-F4)^2</f>
        <v>6.0581884994727258</v>
      </c>
      <c r="U4" s="9">
        <f>(H4-G4)^2</f>
        <v>8.1780275853652586</v>
      </c>
      <c r="V4" s="9">
        <f>(K4-I4)^2</f>
        <v>1110.5414192272449</v>
      </c>
      <c r="W4" s="9">
        <f>(K4-J4)^2</f>
        <v>50.309756863373003</v>
      </c>
    </row>
    <row r="5" spans="1:23">
      <c r="A5" s="12"/>
      <c r="B5" s="12"/>
      <c r="C5" s="2" t="s">
        <v>20</v>
      </c>
      <c r="D5" s="2" t="s">
        <v>10</v>
      </c>
      <c r="E5" s="4">
        <v>82.5</v>
      </c>
      <c r="F5" s="7">
        <v>110.46612032405299</v>
      </c>
      <c r="G5" s="3">
        <v>109.95362111241401</v>
      </c>
      <c r="H5" s="8">
        <v>112.69797935833201</v>
      </c>
      <c r="I5" s="7">
        <v>24.8674343082325</v>
      </c>
      <c r="J5" s="3">
        <v>32.542203991343797</v>
      </c>
      <c r="K5" s="8">
        <v>37.561788512927897</v>
      </c>
      <c r="L5" s="7"/>
      <c r="M5" s="3"/>
      <c r="N5" s="8"/>
      <c r="O5" s="7"/>
      <c r="P5" s="3"/>
      <c r="Q5" s="8"/>
      <c r="T5" s="9">
        <f t="shared" ref="T5:T29" si="0">(H5-F5)^2</f>
        <v>4.9811947488928423</v>
      </c>
      <c r="U5" s="9">
        <f t="shared" ref="U5:U29" si="1">(H5-G5)^2</f>
        <v>7.5315021819380865</v>
      </c>
      <c r="V5" s="9">
        <f t="shared" ref="V5:V29" si="2">(K5-I5)^2</f>
        <v>161.1466286742677</v>
      </c>
      <c r="W5" s="9">
        <f t="shared" ref="W5:W29" si="3">(K5-J5)^2</f>
        <v>25.196228769326684</v>
      </c>
    </row>
    <row r="6" spans="1:23">
      <c r="A6" s="12"/>
      <c r="B6" s="12"/>
      <c r="C6" s="2" t="s">
        <v>12</v>
      </c>
      <c r="D6" s="2" t="s">
        <v>10</v>
      </c>
      <c r="E6" s="4">
        <v>32.1</v>
      </c>
      <c r="F6" s="7">
        <v>101.79690367151299</v>
      </c>
      <c r="G6" s="3">
        <v>101.62819361935961</v>
      </c>
      <c r="H6" s="8">
        <v>103.748730674738</v>
      </c>
      <c r="I6" s="7">
        <v>5.59621906662999</v>
      </c>
      <c r="J6" s="3">
        <v>14.9516246719744</v>
      </c>
      <c r="K6" s="8">
        <v>15.562973963162399</v>
      </c>
      <c r="L6" s="7"/>
      <c r="M6" s="3"/>
      <c r="N6" s="8"/>
      <c r="O6" s="7"/>
      <c r="P6" s="3"/>
      <c r="Q6" s="8"/>
      <c r="T6" s="9">
        <f t="shared" si="0"/>
        <v>3.8096286505183068</v>
      </c>
      <c r="U6" s="9">
        <f t="shared" si="1"/>
        <v>4.4966774032328622</v>
      </c>
      <c r="V6" s="9">
        <f t="shared" si="2"/>
        <v>99.336203167552753</v>
      </c>
      <c r="W6" s="9">
        <f t="shared" si="3"/>
        <v>0.37374795583606846</v>
      </c>
    </row>
    <row r="7" spans="1:23">
      <c r="A7" s="12"/>
      <c r="B7" s="12"/>
      <c r="C7" s="2" t="s">
        <v>21</v>
      </c>
      <c r="D7" s="2" t="s">
        <v>10</v>
      </c>
      <c r="E7" s="4">
        <v>40.799999999999997</v>
      </c>
      <c r="F7" s="7">
        <v>104.488118739501</v>
      </c>
      <c r="G7" s="3">
        <v>104.060457635345</v>
      </c>
      <c r="H7" s="8">
        <v>107.08754099758001</v>
      </c>
      <c r="I7" s="7">
        <v>9.3826202069634803</v>
      </c>
      <c r="J7" s="3">
        <v>30.006656727417798</v>
      </c>
      <c r="K7" s="8">
        <v>32.587038724113803</v>
      </c>
      <c r="L7" s="7"/>
      <c r="M7" s="3"/>
      <c r="N7" s="8"/>
      <c r="O7" s="7"/>
      <c r="P7" s="3"/>
      <c r="Q7" s="8"/>
      <c r="T7" s="9">
        <f t="shared" si="0"/>
        <v>6.7569960757965388</v>
      </c>
      <c r="U7" s="9">
        <f t="shared" si="1"/>
        <v>9.1632336819199764</v>
      </c>
      <c r="V7" s="9">
        <f t="shared" si="2"/>
        <v>538.44503871906875</v>
      </c>
      <c r="W7" s="9">
        <f t="shared" si="3"/>
        <v>6.6583712488728608</v>
      </c>
    </row>
    <row r="8" spans="1:23">
      <c r="A8" s="12"/>
      <c r="B8" s="12"/>
      <c r="C8" s="2" t="s">
        <v>13</v>
      </c>
      <c r="D8" s="2" t="s">
        <v>10</v>
      </c>
      <c r="E8" s="4">
        <v>49.8</v>
      </c>
      <c r="F8" s="7">
        <v>105.883425260382</v>
      </c>
      <c r="G8" s="3">
        <v>105.493934685659</v>
      </c>
      <c r="H8" s="8">
        <v>107.798067559825</v>
      </c>
      <c r="I8" s="7">
        <v>8.06323299249601</v>
      </c>
      <c r="J8" s="3">
        <v>23.1802832556425</v>
      </c>
      <c r="K8" s="8">
        <v>25.2850548063393</v>
      </c>
      <c r="L8" s="7"/>
      <c r="M8" s="3"/>
      <c r="N8" s="8"/>
      <c r="O8" s="7"/>
      <c r="P8" s="3"/>
      <c r="Q8" s="8"/>
      <c r="T8" s="9">
        <f t="shared" si="0"/>
        <v>3.6658551348163884</v>
      </c>
      <c r="U8" s="9">
        <f t="shared" si="1"/>
        <v>5.3090283018124769</v>
      </c>
      <c r="V8" s="9">
        <f t="shared" si="2"/>
        <v>296.59114658776866</v>
      </c>
      <c r="W8" s="9">
        <f t="shared" si="3"/>
        <v>4.430063280622611</v>
      </c>
    </row>
    <row r="9" spans="1:23">
      <c r="A9" s="12"/>
      <c r="B9" s="12"/>
      <c r="C9" s="2" t="s">
        <v>22</v>
      </c>
      <c r="D9" s="2" t="s">
        <v>10</v>
      </c>
      <c r="E9" s="4">
        <v>72.3</v>
      </c>
      <c r="F9" s="7">
        <v>108.33350953066601</v>
      </c>
      <c r="G9" s="3">
        <v>107.77572408678</v>
      </c>
      <c r="H9" s="8">
        <v>110.065231737427</v>
      </c>
      <c r="I9" s="7">
        <v>16.458296970830801</v>
      </c>
      <c r="J9" s="3">
        <v>68.205444750006905</v>
      </c>
      <c r="K9" s="8">
        <v>71.335237713706505</v>
      </c>
      <c r="L9" s="7"/>
      <c r="M9" s="3"/>
      <c r="N9" s="8"/>
      <c r="O9" s="7"/>
      <c r="P9" s="3"/>
      <c r="Q9" s="8"/>
      <c r="T9" s="9">
        <f t="shared" si="0"/>
        <v>2.9988618013891593</v>
      </c>
      <c r="U9" s="9">
        <f t="shared" si="1"/>
        <v>5.2418452823711279</v>
      </c>
      <c r="V9" s="9">
        <f t="shared" si="2"/>
        <v>3011.4786252970912</v>
      </c>
      <c r="W9" s="9">
        <f t="shared" si="3"/>
        <v>9.7956039956235266</v>
      </c>
    </row>
    <row r="10" spans="1:23">
      <c r="A10" s="12"/>
      <c r="B10" s="12"/>
      <c r="C10" s="2" t="s">
        <v>23</v>
      </c>
      <c r="D10" s="2" t="s">
        <v>10</v>
      </c>
      <c r="E10" s="4">
        <v>20.399999999999999</v>
      </c>
      <c r="F10" s="7">
        <v>96.321179100687502</v>
      </c>
      <c r="G10" s="3">
        <v>95.99317334819591</v>
      </c>
      <c r="H10" s="8">
        <v>99.469223977218405</v>
      </c>
      <c r="I10" s="7">
        <v>1.59186767788172</v>
      </c>
      <c r="J10" s="3">
        <v>3.9693983903663299</v>
      </c>
      <c r="K10" s="8">
        <v>11.177792744589199</v>
      </c>
      <c r="L10" s="7"/>
      <c r="M10" s="3"/>
      <c r="N10" s="8"/>
      <c r="O10" s="7"/>
      <c r="P10" s="3"/>
      <c r="Q10" s="8"/>
      <c r="T10" s="9">
        <f t="shared" si="0"/>
        <v>9.910186544652472</v>
      </c>
      <c r="U10" s="9">
        <f t="shared" si="1"/>
        <v>12.082927975527685</v>
      </c>
      <c r="V10" s="9">
        <f t="shared" si="2"/>
        <v>91.889959384530812</v>
      </c>
      <c r="W10" s="9">
        <f t="shared" si="3"/>
        <v>51.960949165992147</v>
      </c>
    </row>
    <row r="11" spans="1:23">
      <c r="A11" s="12"/>
      <c r="B11" s="12"/>
      <c r="C11" s="2" t="s">
        <v>24</v>
      </c>
      <c r="D11" s="2" t="s">
        <v>10</v>
      </c>
      <c r="E11" s="4">
        <v>33.9</v>
      </c>
      <c r="F11" s="7">
        <v>102.235226324362</v>
      </c>
      <c r="G11" s="3">
        <v>101.830148411341</v>
      </c>
      <c r="H11" s="8">
        <v>104.48250645611699</v>
      </c>
      <c r="I11" s="7">
        <v>2.3361036049265098</v>
      </c>
      <c r="J11" s="3">
        <v>11.407524028488</v>
      </c>
      <c r="K11" s="8">
        <v>13.3588338696362</v>
      </c>
      <c r="L11" s="7"/>
      <c r="M11" s="3"/>
      <c r="N11" s="8"/>
      <c r="O11" s="7"/>
      <c r="P11" s="3"/>
      <c r="Q11" s="8"/>
      <c r="T11" s="9">
        <f t="shared" si="0"/>
        <v>5.0502679905807293</v>
      </c>
      <c r="U11" s="9">
        <f t="shared" si="1"/>
        <v>7.0350031976879341</v>
      </c>
      <c r="V11" s="9">
        <f t="shared" si="2"/>
        <v>121.50058248854695</v>
      </c>
      <c r="W11" s="9">
        <f t="shared" si="3"/>
        <v>3.807610096161814</v>
      </c>
    </row>
    <row r="12" spans="1:23">
      <c r="A12" s="12"/>
      <c r="B12" s="12"/>
      <c r="C12" s="2" t="s">
        <v>14</v>
      </c>
      <c r="D12" s="2" t="s">
        <v>10</v>
      </c>
      <c r="E12" s="4">
        <v>45.9</v>
      </c>
      <c r="F12" s="7">
        <v>104.592213966274</v>
      </c>
      <c r="G12" s="3">
        <v>104.405621593611</v>
      </c>
      <c r="H12" s="8">
        <v>107.030288064697</v>
      </c>
      <c r="I12" s="7">
        <v>3.2517978901586302</v>
      </c>
      <c r="J12" s="3">
        <v>9.4167583532066406</v>
      </c>
      <c r="K12" s="8">
        <v>11.946684525227299</v>
      </c>
      <c r="L12" s="7"/>
      <c r="M12" s="3"/>
      <c r="N12" s="8"/>
      <c r="O12" s="7"/>
      <c r="P12" s="3"/>
      <c r="Q12" s="8"/>
      <c r="T12" s="9">
        <f t="shared" si="0"/>
        <v>5.9442053094011325</v>
      </c>
      <c r="U12" s="9">
        <f t="shared" si="1"/>
        <v>6.8888740844430458</v>
      </c>
      <c r="V12" s="9">
        <f t="shared" si="2"/>
        <v>75.601053596695778</v>
      </c>
      <c r="W12" s="9">
        <f t="shared" si="3"/>
        <v>6.4005264358751033</v>
      </c>
    </row>
    <row r="13" spans="1:23">
      <c r="A13" s="12"/>
      <c r="B13" s="12"/>
      <c r="C13" s="2" t="s">
        <v>15</v>
      </c>
      <c r="D13" s="2" t="s">
        <v>10</v>
      </c>
      <c r="E13" s="4">
        <v>54.3</v>
      </c>
      <c r="F13" s="7">
        <v>105.98699169203699</v>
      </c>
      <c r="G13" s="3">
        <v>105.429987916429</v>
      </c>
      <c r="H13" s="8">
        <v>107.870951474347</v>
      </c>
      <c r="I13" s="7">
        <v>3.4669681519596498</v>
      </c>
      <c r="J13" s="3">
        <v>24.506324955981601</v>
      </c>
      <c r="K13" s="8">
        <v>26.5740441183382</v>
      </c>
      <c r="L13" s="7"/>
      <c r="M13" s="3"/>
      <c r="N13" s="8"/>
      <c r="O13" s="7"/>
      <c r="P13" s="3"/>
      <c r="Q13" s="8"/>
      <c r="T13" s="9">
        <f t="shared" si="0"/>
        <v>3.5493044613615452</v>
      </c>
      <c r="U13" s="9">
        <f t="shared" si="1"/>
        <v>5.9583030910836827</v>
      </c>
      <c r="V13" s="9">
        <f t="shared" si="2"/>
        <v>533.93695971598936</v>
      </c>
      <c r="W13" s="9">
        <f t="shared" si="3"/>
        <v>4.2754625343766781</v>
      </c>
    </row>
    <row r="14" spans="1:23">
      <c r="A14" s="12"/>
      <c r="B14" s="12"/>
      <c r="C14" s="2" t="s">
        <v>25</v>
      </c>
      <c r="D14" s="2" t="s">
        <v>10</v>
      </c>
      <c r="E14" s="4">
        <v>36.299999999999997</v>
      </c>
      <c r="F14" s="7">
        <v>105.444632629476</v>
      </c>
      <c r="G14" s="3">
        <v>105.03832240783501</v>
      </c>
      <c r="H14" s="8">
        <v>107.520777497125</v>
      </c>
      <c r="I14" s="7">
        <v>3.2870618459208298</v>
      </c>
      <c r="J14" s="3">
        <v>5.5614054743682901</v>
      </c>
      <c r="K14" s="8">
        <v>6.1037181707447701</v>
      </c>
      <c r="L14" s="7"/>
      <c r="M14" s="3"/>
      <c r="N14" s="8"/>
      <c r="O14" s="7"/>
      <c r="P14" s="3"/>
      <c r="Q14" s="8"/>
      <c r="T14" s="9">
        <f t="shared" si="0"/>
        <v>4.3103775114652505</v>
      </c>
      <c r="U14" s="9">
        <f t="shared" si="1"/>
        <v>6.1625832703417478</v>
      </c>
      <c r="V14" s="9">
        <f t="shared" si="2"/>
        <v>7.9335528521707062</v>
      </c>
      <c r="W14" s="9">
        <f t="shared" si="3"/>
        <v>0.29410306065112812</v>
      </c>
    </row>
    <row r="15" spans="1:23">
      <c r="A15" s="12"/>
      <c r="B15" s="12"/>
      <c r="C15" s="2" t="s">
        <v>26</v>
      </c>
      <c r="D15" s="2" t="s">
        <v>10</v>
      </c>
      <c r="E15" s="4">
        <v>57.9</v>
      </c>
      <c r="F15" s="7">
        <v>107.178867981897</v>
      </c>
      <c r="G15" s="3">
        <v>106.911040356813</v>
      </c>
      <c r="H15" s="8">
        <v>108.640897729827</v>
      </c>
      <c r="I15" s="7">
        <v>7.6486672311552599</v>
      </c>
      <c r="J15" s="3">
        <v>3.3773958892132701</v>
      </c>
      <c r="K15" s="8">
        <v>3.5043071665998</v>
      </c>
      <c r="L15" s="7"/>
      <c r="M15" s="3"/>
      <c r="N15" s="8"/>
      <c r="O15" s="7"/>
      <c r="P15" s="3"/>
      <c r="Q15" s="8"/>
      <c r="T15" s="9">
        <f t="shared" si="0"/>
        <v>2.1375309838322698</v>
      </c>
      <c r="U15" s="9">
        <f t="shared" si="1"/>
        <v>2.9924065309708943</v>
      </c>
      <c r="V15" s="9">
        <f t="shared" si="2"/>
        <v>17.175720344682141</v>
      </c>
      <c r="W15" s="9">
        <f t="shared" si="3"/>
        <v>1.610647232788075E-2</v>
      </c>
    </row>
    <row r="16" spans="1:23">
      <c r="A16" s="12"/>
      <c r="B16" s="12"/>
      <c r="C16" s="2" t="s">
        <v>27</v>
      </c>
      <c r="D16" s="2" t="s">
        <v>10</v>
      </c>
      <c r="E16" s="4">
        <v>65.7</v>
      </c>
      <c r="F16" s="7">
        <v>105.939262713247</v>
      </c>
      <c r="G16" s="3">
        <v>105.82049828470001</v>
      </c>
      <c r="H16" s="8">
        <v>109.57001100562201</v>
      </c>
      <c r="I16" s="7">
        <v>3.5436764740469302</v>
      </c>
      <c r="J16" s="3">
        <v>2.6854585078464002</v>
      </c>
      <c r="K16" s="8">
        <v>3.9417965284584802</v>
      </c>
      <c r="L16" s="7"/>
      <c r="M16" s="3"/>
      <c r="N16" s="8"/>
      <c r="O16" s="7"/>
      <c r="P16" s="3"/>
      <c r="Q16" s="8"/>
      <c r="T16" s="9">
        <f t="shared" si="0"/>
        <v>13.182333162583999</v>
      </c>
      <c r="U16" s="9">
        <f t="shared" si="1"/>
        <v>14.058845644355891</v>
      </c>
      <c r="V16" s="9">
        <f t="shared" si="2"/>
        <v>0.1584995777246555</v>
      </c>
      <c r="W16" s="9">
        <f t="shared" si="3"/>
        <v>1.578385222035479</v>
      </c>
    </row>
    <row r="17" spans="1:23">
      <c r="A17" s="12"/>
      <c r="B17" s="12"/>
      <c r="C17" s="2" t="s">
        <v>9</v>
      </c>
      <c r="D17" s="2" t="s">
        <v>11</v>
      </c>
      <c r="E17" s="4">
        <v>46</v>
      </c>
      <c r="F17" s="7">
        <v>122.36245045276701</v>
      </c>
      <c r="G17" s="3">
        <v>122.387001063011</v>
      </c>
      <c r="H17" s="8">
        <v>124.500932778474</v>
      </c>
      <c r="I17" s="7">
        <v>73.661892033692794</v>
      </c>
      <c r="J17" s="3">
        <v>27.8481907667889</v>
      </c>
      <c r="K17" s="8">
        <v>24.133196699864701</v>
      </c>
      <c r="L17" s="7"/>
      <c r="M17" s="3"/>
      <c r="N17" s="8"/>
      <c r="O17" s="7"/>
      <c r="P17" s="3"/>
      <c r="Q17" s="8"/>
      <c r="T17" s="9">
        <f t="shared" si="0"/>
        <v>4.5731066573611692</v>
      </c>
      <c r="U17" s="9">
        <f t="shared" si="1"/>
        <v>4.4687072976403268</v>
      </c>
      <c r="V17" s="9">
        <f t="shared" si="2"/>
        <v>2453.091661471165</v>
      </c>
      <c r="W17" s="9">
        <f t="shared" si="3"/>
        <v>13.801180917281997</v>
      </c>
    </row>
    <row r="18" spans="1:23">
      <c r="A18" s="12"/>
      <c r="B18" s="12"/>
      <c r="C18" s="2" t="s">
        <v>20</v>
      </c>
      <c r="D18" s="2" t="s">
        <v>11</v>
      </c>
      <c r="E18" s="4">
        <v>73</v>
      </c>
      <c r="F18" s="7">
        <v>125.226951685719</v>
      </c>
      <c r="G18" s="3">
        <v>126.44426279093801</v>
      </c>
      <c r="H18" s="8">
        <v>130.20617366961801</v>
      </c>
      <c r="I18" s="7">
        <v>122.008443458063</v>
      </c>
      <c r="J18" s="3">
        <v>22.219008301406099</v>
      </c>
      <c r="K18" s="8">
        <v>22.847063288152999</v>
      </c>
      <c r="L18" s="7"/>
      <c r="M18" s="3"/>
      <c r="N18" s="8"/>
      <c r="O18" s="7"/>
      <c r="P18" s="3"/>
      <c r="Q18" s="8"/>
      <c r="T18" s="9">
        <f t="shared" si="0"/>
        <v>24.792651564943185</v>
      </c>
      <c r="U18" s="9">
        <f t="shared" si="1"/>
        <v>14.151973459130918</v>
      </c>
      <c r="V18" s="9">
        <f t="shared" si="2"/>
        <v>9832.9793172014215</v>
      </c>
      <c r="W18" s="9">
        <f t="shared" si="3"/>
        <v>0.39445306637764854</v>
      </c>
    </row>
    <row r="19" spans="1:23">
      <c r="A19" s="12"/>
      <c r="B19" s="12"/>
      <c r="C19" s="2" t="s">
        <v>12</v>
      </c>
      <c r="D19" s="2" t="s">
        <v>11</v>
      </c>
      <c r="E19" s="4">
        <v>83</v>
      </c>
      <c r="F19" s="7">
        <v>124.17889146591099</v>
      </c>
      <c r="G19" s="3">
        <v>127.96167355292201</v>
      </c>
      <c r="H19" s="8">
        <v>130.92207891810199</v>
      </c>
      <c r="I19" s="7">
        <v>210.57450290512801</v>
      </c>
      <c r="J19" s="3">
        <v>19.3690028588362</v>
      </c>
      <c r="K19" s="8">
        <v>19.849998855206401</v>
      </c>
      <c r="L19" s="7"/>
      <c r="M19" s="3"/>
      <c r="N19" s="8"/>
      <c r="O19" s="7"/>
      <c r="P19" s="3"/>
      <c r="Q19" s="8"/>
      <c r="T19" s="9">
        <f t="shared" si="0"/>
        <v>45.470577015386077</v>
      </c>
      <c r="U19" s="9">
        <f t="shared" si="1"/>
        <v>8.7639999261864112</v>
      </c>
      <c r="V19" s="9">
        <f t="shared" si="2"/>
        <v>36375.836445088571</v>
      </c>
      <c r="W19" s="9">
        <f t="shared" si="3"/>
        <v>0.23135714852416206</v>
      </c>
    </row>
    <row r="20" spans="1:23">
      <c r="A20" s="12"/>
      <c r="B20" s="12"/>
      <c r="C20" s="2" t="s">
        <v>21</v>
      </c>
      <c r="D20" s="2" t="s">
        <v>11</v>
      </c>
      <c r="E20" s="4">
        <v>40.659999999999997</v>
      </c>
      <c r="F20" s="7">
        <v>119.82250985584901</v>
      </c>
      <c r="G20" s="3">
        <v>119.993916957848</v>
      </c>
      <c r="H20" s="8">
        <v>124.750761995896</v>
      </c>
      <c r="I20" s="7">
        <v>86.5809815858604</v>
      </c>
      <c r="J20" s="3">
        <v>44.778883144833401</v>
      </c>
      <c r="K20" s="8">
        <v>61.319544134269101</v>
      </c>
      <c r="L20" s="7"/>
      <c r="M20" s="3"/>
      <c r="N20" s="8"/>
      <c r="O20" s="7"/>
      <c r="P20" s="3"/>
      <c r="Q20" s="8"/>
      <c r="T20" s="9">
        <f t="shared" si="0"/>
        <v>24.287669155877769</v>
      </c>
      <c r="U20" s="9">
        <f t="shared" si="1"/>
        <v>22.627574716001867</v>
      </c>
      <c r="V20" s="9">
        <f t="shared" si="2"/>
        <v>638.14022212065947</v>
      </c>
      <c r="W20" s="9">
        <f t="shared" si="3"/>
        <v>273.59346596744001</v>
      </c>
    </row>
    <row r="21" spans="1:23">
      <c r="A21" s="12"/>
      <c r="B21" s="12"/>
      <c r="C21" s="2" t="s">
        <v>13</v>
      </c>
      <c r="D21" s="2" t="s">
        <v>11</v>
      </c>
      <c r="E21" s="4">
        <v>53.35</v>
      </c>
      <c r="F21" s="7">
        <v>121.09631865601899</v>
      </c>
      <c r="G21" s="3">
        <v>121.07384578994301</v>
      </c>
      <c r="H21" s="8">
        <v>123.583183649859</v>
      </c>
      <c r="I21" s="7">
        <v>96.359707999555297</v>
      </c>
      <c r="J21" s="3">
        <v>64.049832277749402</v>
      </c>
      <c r="K21" s="8">
        <v>64.425091631879297</v>
      </c>
      <c r="L21" s="7"/>
      <c r="M21" s="3"/>
      <c r="N21" s="8"/>
      <c r="O21" s="7"/>
      <c r="P21" s="3"/>
      <c r="Q21" s="8"/>
      <c r="T21" s="9">
        <f t="shared" si="0"/>
        <v>6.184497497586829</v>
      </c>
      <c r="U21" s="9">
        <f t="shared" si="1"/>
        <v>6.296776495207749</v>
      </c>
      <c r="V21" s="9">
        <f t="shared" si="2"/>
        <v>1019.8197225506399</v>
      </c>
      <c r="W21" s="9">
        <f t="shared" si="3"/>
        <v>0.14081958286198593</v>
      </c>
    </row>
    <row r="22" spans="1:23">
      <c r="A22" s="12"/>
      <c r="B22" s="12"/>
      <c r="C22" s="2" t="s">
        <v>22</v>
      </c>
      <c r="D22" s="2" t="s">
        <v>11</v>
      </c>
      <c r="E22" s="4">
        <v>62.56</v>
      </c>
      <c r="F22" s="7">
        <v>120.961076701262</v>
      </c>
      <c r="G22" s="3">
        <v>125.41392242690101</v>
      </c>
      <c r="H22" s="8">
        <v>128.446808235074</v>
      </c>
      <c r="I22" s="7">
        <v>234.53872653510999</v>
      </c>
      <c r="J22" s="3">
        <v>42.286498593098102</v>
      </c>
      <c r="K22" s="8">
        <v>48.744556117031699</v>
      </c>
      <c r="L22" s="7"/>
      <c r="M22" s="3"/>
      <c r="N22" s="8"/>
      <c r="O22" s="7"/>
      <c r="P22" s="3"/>
      <c r="Q22" s="8"/>
      <c r="T22" s="9">
        <f t="shared" si="0"/>
        <v>56.036176596307364</v>
      </c>
      <c r="U22" s="9">
        <f t="shared" si="1"/>
        <v>9.1983963254171428</v>
      </c>
      <c r="V22" s="9">
        <f t="shared" si="2"/>
        <v>34519.47376134192</v>
      </c>
      <c r="W22" s="9">
        <f t="shared" si="3"/>
        <v>41.706506982435343</v>
      </c>
    </row>
    <row r="23" spans="1:23">
      <c r="A23" s="12"/>
      <c r="B23" s="12"/>
      <c r="C23" s="2" t="s">
        <v>23</v>
      </c>
      <c r="D23" s="2" t="s">
        <v>11</v>
      </c>
      <c r="E23" s="4">
        <v>35</v>
      </c>
      <c r="F23" s="7">
        <v>109.582431737565</v>
      </c>
      <c r="G23" s="3">
        <v>108.72160151174501</v>
      </c>
      <c r="H23" s="8">
        <v>111.386065188144</v>
      </c>
      <c r="I23" s="7">
        <v>18.0933935574717</v>
      </c>
      <c r="J23" s="3">
        <v>5.6706083262328404</v>
      </c>
      <c r="K23" s="8">
        <v>5.9395337654219302</v>
      </c>
      <c r="L23" s="7"/>
      <c r="M23" s="3"/>
      <c r="N23" s="8"/>
      <c r="O23" s="7"/>
      <c r="P23" s="3"/>
      <c r="Q23" s="8"/>
      <c r="T23" s="9">
        <f t="shared" si="0"/>
        <v>3.2530936240475081</v>
      </c>
      <c r="U23" s="9">
        <f t="shared" si="1"/>
        <v>7.0993666828496487</v>
      </c>
      <c r="V23" s="9">
        <f t="shared" si="2"/>
        <v>147.71630784480405</v>
      </c>
      <c r="W23" s="9">
        <f t="shared" si="3"/>
        <v>7.2320891843044854E-2</v>
      </c>
    </row>
    <row r="24" spans="1:23">
      <c r="A24" s="12"/>
      <c r="B24" s="12"/>
      <c r="C24" s="2" t="s">
        <v>24</v>
      </c>
      <c r="D24" s="2" t="s">
        <v>11</v>
      </c>
      <c r="E24" s="4">
        <v>45.47</v>
      </c>
      <c r="F24" s="7">
        <v>105.323480368975</v>
      </c>
      <c r="G24" s="3">
        <v>105.12615044939901</v>
      </c>
      <c r="H24" s="8">
        <v>108.11280142883101</v>
      </c>
      <c r="I24" s="7">
        <v>11.315437181668999</v>
      </c>
      <c r="J24" s="3">
        <v>2.4705377059678701</v>
      </c>
      <c r="K24" s="8">
        <v>2.75758594448904</v>
      </c>
      <c r="L24" s="7"/>
      <c r="M24" s="3"/>
      <c r="N24" s="8"/>
      <c r="O24" s="7"/>
      <c r="P24" s="3"/>
      <c r="Q24" s="8"/>
      <c r="T24" s="9">
        <f t="shared" si="0"/>
        <v>7.7803119749562404</v>
      </c>
      <c r="U24" s="9">
        <f t="shared" si="1"/>
        <v>8.9200840729421227</v>
      </c>
      <c r="V24" s="9">
        <f t="shared" si="2"/>
        <v>73.236817797702543</v>
      </c>
      <c r="W24" s="9">
        <f t="shared" si="3"/>
        <v>8.2396691238106445E-2</v>
      </c>
    </row>
    <row r="25" spans="1:23">
      <c r="A25" s="12"/>
      <c r="B25" s="12"/>
      <c r="C25" s="2" t="s">
        <v>14</v>
      </c>
      <c r="D25" s="2" t="s">
        <v>11</v>
      </c>
      <c r="E25" s="4">
        <v>58.5</v>
      </c>
      <c r="F25" s="7">
        <v>119.194970825327</v>
      </c>
      <c r="G25" s="3">
        <v>119.09233962993001</v>
      </c>
      <c r="H25" s="8">
        <v>123.64007542732</v>
      </c>
      <c r="I25" s="7">
        <v>41.8525015102379</v>
      </c>
      <c r="J25" s="3">
        <v>14.2902518689038</v>
      </c>
      <c r="K25" s="8">
        <v>20.513940662860701</v>
      </c>
      <c r="L25" s="7"/>
      <c r="M25" s="3"/>
      <c r="N25" s="8"/>
      <c r="O25" s="7"/>
      <c r="P25" s="3"/>
      <c r="Q25" s="8"/>
      <c r="T25" s="9">
        <f t="shared" si="0"/>
        <v>19.758954922659299</v>
      </c>
      <c r="U25" s="9">
        <f t="shared" si="1"/>
        <v>20.681900882862369</v>
      </c>
      <c r="V25" s="9">
        <f t="shared" si="2"/>
        <v>455.33417903721914</v>
      </c>
      <c r="W25" s="9">
        <f t="shared" si="3"/>
        <v>38.734302204024708</v>
      </c>
    </row>
    <row r="26" spans="1:23">
      <c r="A26" s="12"/>
      <c r="B26" s="12"/>
      <c r="C26" s="2" t="s">
        <v>15</v>
      </c>
      <c r="D26" s="2" t="s">
        <v>11</v>
      </c>
      <c r="E26" s="4">
        <v>65.7</v>
      </c>
      <c r="F26" s="7">
        <v>124.195835444374</v>
      </c>
      <c r="G26" s="3">
        <v>124.08906739883301</v>
      </c>
      <c r="H26" s="8">
        <v>127.087711333736</v>
      </c>
      <c r="I26" s="7">
        <v>71.916338773506098</v>
      </c>
      <c r="J26" s="3">
        <v>24.392309557474501</v>
      </c>
      <c r="K26" s="8">
        <v>29.994865032800401</v>
      </c>
      <c r="L26" s="7"/>
      <c r="M26" s="3"/>
      <c r="N26" s="8"/>
      <c r="O26" s="7"/>
      <c r="P26" s="3"/>
      <c r="Q26" s="8"/>
      <c r="T26" s="9">
        <f t="shared" si="0"/>
        <v>8.3629461594732462</v>
      </c>
      <c r="U26" s="9">
        <f t="shared" si="1"/>
        <v>8.9918654483304667</v>
      </c>
      <c r="V26" s="9">
        <f t="shared" si="2"/>
        <v>1757.409960592677</v>
      </c>
      <c r="W26" s="9">
        <f t="shared" si="3"/>
        <v>31.388627854104222</v>
      </c>
    </row>
    <row r="27" spans="1:23">
      <c r="A27" s="12"/>
      <c r="B27" s="12"/>
      <c r="C27" s="2" t="s">
        <v>25</v>
      </c>
      <c r="D27" s="2" t="s">
        <v>11</v>
      </c>
      <c r="E27" s="4">
        <v>18.3</v>
      </c>
      <c r="F27" s="7">
        <v>116.97830319693099</v>
      </c>
      <c r="G27" s="3">
        <v>116.60848259551901</v>
      </c>
      <c r="H27" s="8">
        <v>120.863434111806</v>
      </c>
      <c r="I27" s="7">
        <v>32.6670716209711</v>
      </c>
      <c r="J27" s="3">
        <v>10.9646532964478</v>
      </c>
      <c r="K27" s="8">
        <v>13.151957866538</v>
      </c>
      <c r="L27" s="7"/>
      <c r="M27" s="3"/>
      <c r="N27" s="8"/>
      <c r="O27" s="7"/>
      <c r="P27" s="3"/>
      <c r="Q27" s="8"/>
      <c r="T27" s="9">
        <f t="shared" si="0"/>
        <v>15.094242225717503</v>
      </c>
      <c r="U27" s="9">
        <f t="shared" si="1"/>
        <v>18.104612405952988</v>
      </c>
      <c r="V27" s="9">
        <f t="shared" si="2"/>
        <v>380.83966484846405</v>
      </c>
      <c r="W27" s="9">
        <f t="shared" si="3"/>
        <v>4.7843012823374753</v>
      </c>
    </row>
    <row r="28" spans="1:23">
      <c r="A28" s="12"/>
      <c r="B28" s="12"/>
      <c r="C28" s="2" t="s">
        <v>26</v>
      </c>
      <c r="D28" s="2" t="s">
        <v>11</v>
      </c>
      <c r="E28" s="4">
        <v>20.8</v>
      </c>
      <c r="F28" s="7">
        <v>109.23269103167399</v>
      </c>
      <c r="G28" s="3">
        <v>109.074071826704</v>
      </c>
      <c r="H28" s="8">
        <v>111.321869594666</v>
      </c>
      <c r="I28" s="7">
        <v>13.260248119122</v>
      </c>
      <c r="J28" s="3">
        <v>3.3852372089526201</v>
      </c>
      <c r="K28" s="8">
        <v>3.6085432066646601</v>
      </c>
      <c r="L28" s="7"/>
      <c r="M28" s="3"/>
      <c r="N28" s="8"/>
      <c r="O28" s="7"/>
      <c r="P28" s="3"/>
      <c r="Q28" s="8"/>
      <c r="T28" s="9">
        <f t="shared" si="0"/>
        <v>4.3646670680653337</v>
      </c>
      <c r="U28" s="9">
        <f t="shared" si="1"/>
        <v>5.052594805654941</v>
      </c>
      <c r="V28" s="9">
        <f t="shared" si="2"/>
        <v>93.155407717153153</v>
      </c>
      <c r="W28" s="9">
        <f t="shared" si="3"/>
        <v>4.9865568614169596E-2</v>
      </c>
    </row>
    <row r="29" spans="1:23">
      <c r="A29" s="12"/>
      <c r="B29" s="12"/>
      <c r="C29" s="2" t="s">
        <v>27</v>
      </c>
      <c r="D29" s="2" t="s">
        <v>11</v>
      </c>
      <c r="E29" s="4">
        <v>30</v>
      </c>
      <c r="F29" s="7">
        <v>123.688464601129</v>
      </c>
      <c r="G29" s="3">
        <v>123.71500864830901</v>
      </c>
      <c r="H29" s="8">
        <v>126.107103927192</v>
      </c>
      <c r="I29" s="7">
        <v>102.717861304203</v>
      </c>
      <c r="J29" s="3">
        <v>36.539707084686803</v>
      </c>
      <c r="K29" s="8">
        <v>38.976177274935502</v>
      </c>
      <c r="L29" s="7"/>
      <c r="M29" s="3"/>
      <c r="N29" s="8"/>
      <c r="O29" s="7"/>
      <c r="P29" s="3"/>
      <c r="Q29" s="8"/>
      <c r="T29" s="9">
        <f t="shared" si="0"/>
        <v>5.8498161895784886</v>
      </c>
      <c r="U29" s="9">
        <f t="shared" si="1"/>
        <v>5.7221198232542934</v>
      </c>
      <c r="V29" s="9">
        <f t="shared" si="2"/>
        <v>4063.0022828869751</v>
      </c>
      <c r="W29" s="9">
        <f t="shared" si="3"/>
        <v>5.9363869879705291</v>
      </c>
    </row>
    <row r="30" spans="1:23">
      <c r="T30" s="9">
        <f>SQRT(AVERAGE(T4:T29))</f>
        <v>3.3864188114308065</v>
      </c>
      <c r="U30" s="9">
        <f>SQRT(AVERAGE(U4:U29))</f>
        <v>3.0075496707483547</v>
      </c>
      <c r="V30" s="9">
        <f>SQRT(AVERAGE(V4:V29))</f>
        <v>61.355136184014377</v>
      </c>
      <c r="W30" s="9">
        <f>SQRT(AVERAGE(W4:W29))</f>
        <v>4.7068399502382476</v>
      </c>
    </row>
    <row r="59" spans="7:7">
      <c r="G59" s="1"/>
    </row>
  </sheetData>
  <mergeCells count="12">
    <mergeCell ref="A1:Q1"/>
    <mergeCell ref="B4:B29"/>
    <mergeCell ref="F2:H2"/>
    <mergeCell ref="I2:K2"/>
    <mergeCell ref="A4:A29"/>
    <mergeCell ref="A2:A3"/>
    <mergeCell ref="B2:B3"/>
    <mergeCell ref="C2:C3"/>
    <mergeCell ref="D2:D3"/>
    <mergeCell ref="E2:E3"/>
    <mergeCell ref="L2:N2"/>
    <mergeCell ref="O2:Q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Shakya</dc:creator>
  <cp:lastModifiedBy>Dipankar Shakya</cp:lastModifiedBy>
  <dcterms:created xsi:type="dcterms:W3CDTF">2015-06-05T18:17:00Z</dcterms:created>
  <dcterms:modified xsi:type="dcterms:W3CDTF">2026-02-13T17:51:10Z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CE82493AC5D442B6874199F0D93984D1_12</vt:lpwstr>
  </property>
  <property fmtid="{D5CDD505-2E9C-101B-9397-08002B2CF9AE}" pid="3" name="KSOProductBuildVer">
    <vt:lpwstr>1033-12.2.0.18283</vt:lpwstr>
  </property>
</Properties>
</file>