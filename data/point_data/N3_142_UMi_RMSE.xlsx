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USC\USCprocessNYUdata\OriginalNYU_pointData\"/>
    </mc:Choice>
  </mc:AlternateContent>
  <xr:revisionPtr revIDLastSave="0" documentId="13_ncr:1_{7DE443D3-0133-4039-8875-316D059E03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Tabl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7" l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2" i="7" s="1"/>
  <c r="V30" i="7"/>
  <c r="V31" i="7"/>
  <c r="V4" i="7"/>
  <c r="U32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4" i="7"/>
  <c r="S5" i="7"/>
  <c r="S6" i="7"/>
  <c r="S7" i="7"/>
  <c r="S8" i="7"/>
  <c r="S9" i="7"/>
  <c r="S10" i="7"/>
  <c r="S11" i="7"/>
  <c r="S12" i="7"/>
  <c r="S13" i="7"/>
  <c r="S15" i="7"/>
  <c r="S16" i="7"/>
  <c r="S17" i="7"/>
  <c r="S18" i="7"/>
  <c r="S19" i="7"/>
  <c r="S20" i="7"/>
  <c r="S21" i="7"/>
  <c r="S32" i="7" s="1"/>
  <c r="S22" i="7"/>
  <c r="S23" i="7"/>
  <c r="S24" i="7"/>
  <c r="S25" i="7"/>
  <c r="S26" i="7"/>
  <c r="S27" i="7"/>
  <c r="S28" i="7"/>
  <c r="S29" i="7"/>
  <c r="S30" i="7"/>
  <c r="S31" i="7"/>
  <c r="S4" i="7"/>
  <c r="T32" i="7" l="1"/>
</calcChain>
</file>

<file path=xl/sharedStrings.xml><?xml version="1.0" encoding="utf-8"?>
<sst xmlns="http://schemas.openxmlformats.org/spreadsheetml/2006/main" count="86" uniqueCount="40">
  <si>
    <t>Freq.</t>
  </si>
  <si>
    <t>TX</t>
  </si>
  <si>
    <t>RX</t>
  </si>
  <si>
    <t>Loc Type</t>
  </si>
  <si>
    <t>TR Sep</t>
  </si>
  <si>
    <t>Omni DS</t>
  </si>
  <si>
    <t>Omni ASA</t>
  </si>
  <si>
    <t>Omni ASD</t>
  </si>
  <si>
    <t>TX1</t>
  </si>
  <si>
    <t>RX1</t>
  </si>
  <si>
    <t>LOS</t>
  </si>
  <si>
    <t>NLOS</t>
  </si>
  <si>
    <t>RX3</t>
  </si>
  <si>
    <t>TX2</t>
  </si>
  <si>
    <t>RX5</t>
  </si>
  <si>
    <t>TX3</t>
  </si>
  <si>
    <t>TX4</t>
  </si>
  <si>
    <t>TX5</t>
  </si>
  <si>
    <t>142 GHz</t>
  </si>
  <si>
    <t>RX9</t>
  </si>
  <si>
    <t>RX14</t>
  </si>
  <si>
    <t>RX16</t>
  </si>
  <si>
    <t>RX18</t>
  </si>
  <si>
    <t>RX23</t>
  </si>
  <si>
    <t>RX27</t>
  </si>
  <si>
    <t>RX31</t>
  </si>
  <si>
    <t>RX35</t>
  </si>
  <si>
    <t>RX36</t>
  </si>
  <si>
    <t>RX37</t>
  </si>
  <si>
    <t>RX38</t>
  </si>
  <si>
    <t>RX10</t>
  </si>
  <si>
    <t>TX6</t>
  </si>
  <si>
    <t>RX39</t>
  </si>
  <si>
    <t>RX40</t>
  </si>
  <si>
    <t>Outage</t>
  </si>
  <si>
    <t>USC thres</t>
  </si>
  <si>
    <t>NYU thres</t>
  </si>
  <si>
    <t>Omni PL</t>
  </si>
  <si>
    <t>Point-Data table implementing USC processing methods, NYU Data (N3)</t>
  </si>
  <si>
    <t>NYU orig. (N1)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</si>
</sst>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4" xfId="0" applyBorder="1"/>
    <xf numFmtId="0" fontId="1" fillId="2" borderId="5" xfId="0" applyFont="1" applyFill="1" applyBorder="1"/>
    <xf numFmtId="2" fontId="0" fillId="0" borderId="4" xfId="0" applyNumberFormat="1" applyBorder="1"/>
    <xf numFmtId="2" fontId="0" fillId="2" borderId="5" xfId="0" applyNumberFormat="1" applyFill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V38"/>
  <sheetViews>
    <sheetView tabSelected="1" topLeftCell="B15" zoomScale="85" zoomScaleNormal="85" workbookViewId="0">
      <selection activeCell="M38" sqref="M38"/>
    </sheetView>
  </sheetViews>
  <sheetFormatPr defaultRowHeight="14.5"/>
  <cols>
    <col min="6" max="6" width="9.36328125" customWidth="1"/>
    <col min="7" max="7" width="9.26953125" customWidth="1"/>
    <col min="8" max="8" width="12.54296875" customWidth="1"/>
    <col min="11" max="11" width="12.08984375" customWidth="1"/>
    <col min="14" max="14" width="12.26953125" customWidth="1"/>
    <col min="17" max="17" width="12.36328125" customWidth="1"/>
    <col min="19" max="19" width="9.6328125" customWidth="1"/>
    <col min="20" max="20" width="9.26953125" customWidth="1"/>
    <col min="22" max="22" width="8.6328125" customWidth="1"/>
  </cols>
  <sheetData>
    <row r="1" spans="1:22">
      <c r="A1" s="11" t="s">
        <v>38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2">
      <c r="A2" s="9" t="s">
        <v>0</v>
      </c>
      <c r="B2" s="9" t="s">
        <v>1</v>
      </c>
      <c r="C2" s="9" t="s">
        <v>2</v>
      </c>
      <c r="D2" s="9" t="s">
        <v>3</v>
      </c>
      <c r="E2" s="18" t="s">
        <v>4</v>
      </c>
      <c r="F2" s="8" t="s">
        <v>37</v>
      </c>
      <c r="G2" s="9"/>
      <c r="H2" s="10"/>
      <c r="I2" s="8" t="s">
        <v>5</v>
      </c>
      <c r="J2" s="9"/>
      <c r="K2" s="10"/>
      <c r="L2" s="8" t="s">
        <v>6</v>
      </c>
      <c r="M2" s="9"/>
      <c r="N2" s="10"/>
      <c r="O2" s="8" t="s">
        <v>7</v>
      </c>
      <c r="P2" s="9"/>
      <c r="Q2" s="10"/>
    </row>
    <row r="3" spans="1:22">
      <c r="A3" s="9"/>
      <c r="B3" s="9"/>
      <c r="C3" s="9"/>
      <c r="D3" s="9"/>
      <c r="E3" s="18"/>
      <c r="F3" s="4" t="s">
        <v>35</v>
      </c>
      <c r="G3" s="1" t="s">
        <v>36</v>
      </c>
      <c r="H3" s="5" t="s">
        <v>39</v>
      </c>
      <c r="I3" s="4" t="s">
        <v>35</v>
      </c>
      <c r="J3" s="1" t="s">
        <v>36</v>
      </c>
      <c r="K3" s="5" t="s">
        <v>39</v>
      </c>
      <c r="L3" s="4" t="s">
        <v>35</v>
      </c>
      <c r="M3" s="1" t="s">
        <v>36</v>
      </c>
      <c r="N3" s="5" t="s">
        <v>39</v>
      </c>
      <c r="O3" s="4" t="s">
        <v>35</v>
      </c>
      <c r="P3" s="1" t="s">
        <v>36</v>
      </c>
      <c r="Q3" s="5" t="s">
        <v>39</v>
      </c>
    </row>
    <row r="4" spans="1:22">
      <c r="A4" s="17" t="s">
        <v>18</v>
      </c>
      <c r="B4" s="17" t="s">
        <v>8</v>
      </c>
      <c r="C4" s="1" t="s">
        <v>9</v>
      </c>
      <c r="D4" s="1" t="s">
        <v>10</v>
      </c>
      <c r="E4" s="3">
        <v>24.43</v>
      </c>
      <c r="F4" s="6">
        <v>103.301546771324</v>
      </c>
      <c r="G4" s="2">
        <v>103.365815193022</v>
      </c>
      <c r="H4" s="7">
        <v>102.638833315253</v>
      </c>
      <c r="I4" s="6">
        <v>5.6795473169683603</v>
      </c>
      <c r="J4" s="2">
        <v>0.85343621658617097</v>
      </c>
      <c r="K4" s="7">
        <v>13.9882115793548</v>
      </c>
      <c r="L4" s="6"/>
      <c r="M4" s="2"/>
      <c r="N4" s="7"/>
      <c r="O4" s="6"/>
      <c r="P4" s="2"/>
      <c r="Q4" s="7"/>
      <c r="S4" s="19">
        <f>(H4-F4)^2</f>
        <v>0.43918912485757361</v>
      </c>
      <c r="T4" s="19">
        <f>(H4-G4)^2</f>
        <v>0.52850265060455037</v>
      </c>
      <c r="U4" s="19">
        <f>(K4-I4)^2</f>
        <v>69.033901825057598</v>
      </c>
      <c r="V4" s="19">
        <f>(K4-J4)^2</f>
        <v>172.52232383039376</v>
      </c>
    </row>
    <row r="5" spans="1:22">
      <c r="A5" s="17"/>
      <c r="B5" s="17"/>
      <c r="C5" s="1" t="s">
        <v>14</v>
      </c>
      <c r="D5" s="1" t="s">
        <v>10</v>
      </c>
      <c r="E5" s="3">
        <v>27.22</v>
      </c>
      <c r="F5" s="6">
        <v>102.67876886245099</v>
      </c>
      <c r="G5" s="2">
        <v>102.618440808765</v>
      </c>
      <c r="H5" s="7">
        <v>102.141585146539</v>
      </c>
      <c r="I5" s="6">
        <v>0.88710569162697706</v>
      </c>
      <c r="J5" s="2">
        <v>0.903040618642867</v>
      </c>
      <c r="K5" s="7">
        <v>0.864858213763812</v>
      </c>
      <c r="L5" s="6"/>
      <c r="M5" s="2"/>
      <c r="N5" s="7"/>
      <c r="O5" s="6"/>
      <c r="P5" s="2"/>
      <c r="Q5" s="7"/>
      <c r="S5" s="19">
        <f t="shared" ref="S5:S31" si="0">(H5-F5)^2</f>
        <v>0.28856634464101727</v>
      </c>
      <c r="T5" s="19">
        <f t="shared" ref="T5:T31" si="1">(H5-G5)^2</f>
        <v>0.22739132259699771</v>
      </c>
      <c r="U5" s="19">
        <f t="shared" ref="U5:U31" si="2">(K5-I5)^2</f>
        <v>4.9495027127201914E-4</v>
      </c>
      <c r="V5" s="19">
        <f t="shared" ref="V5:V31" si="3">(K5-J5)^2</f>
        <v>1.4578960423480829E-3</v>
      </c>
    </row>
    <row r="6" spans="1:22">
      <c r="A6" s="17"/>
      <c r="B6" s="17"/>
      <c r="C6" s="1" t="s">
        <v>19</v>
      </c>
      <c r="D6" s="1" t="s">
        <v>11</v>
      </c>
      <c r="E6" s="3">
        <v>32.65</v>
      </c>
      <c r="F6" s="6">
        <v>112.207496639433</v>
      </c>
      <c r="G6" s="2">
        <v>127.62374557516399</v>
      </c>
      <c r="H6" s="7">
        <v>126.495989292562</v>
      </c>
      <c r="I6" s="6">
        <v>84.367881736230302</v>
      </c>
      <c r="J6" s="2">
        <v>12.5672537280377</v>
      </c>
      <c r="K6" s="7">
        <v>16.619003267854598</v>
      </c>
      <c r="L6" s="6"/>
      <c r="M6" s="2"/>
      <c r="N6" s="7"/>
      <c r="O6" s="6"/>
      <c r="P6" s="2"/>
      <c r="Q6" s="7"/>
      <c r="S6" s="19">
        <f t="shared" si="0"/>
        <v>204.16102229852135</v>
      </c>
      <c r="T6" s="19">
        <f t="shared" si="1"/>
        <v>1.2718342329482666</v>
      </c>
      <c r="U6" s="19">
        <f t="shared" si="2"/>
        <v>4589.910533722742</v>
      </c>
      <c r="V6" s="19">
        <f t="shared" si="3"/>
        <v>16.416674333406444</v>
      </c>
    </row>
    <row r="7" spans="1:22">
      <c r="A7" s="17"/>
      <c r="B7" s="17"/>
      <c r="C7" s="1" t="s">
        <v>20</v>
      </c>
      <c r="D7" s="1" t="s">
        <v>11</v>
      </c>
      <c r="E7" s="3">
        <v>45.95</v>
      </c>
      <c r="F7" s="6">
        <v>104.84379635373701</v>
      </c>
      <c r="G7" s="2">
        <v>131.00713817292501</v>
      </c>
      <c r="H7" s="7">
        <v>129.80820436359701</v>
      </c>
      <c r="I7" s="6">
        <v>75.594759918094198</v>
      </c>
      <c r="J7" s="2">
        <v>12.2557627939194</v>
      </c>
      <c r="K7" s="7">
        <v>13.040381395882701</v>
      </c>
      <c r="L7" s="6"/>
      <c r="M7" s="2"/>
      <c r="N7" s="7"/>
      <c r="O7" s="6"/>
      <c r="P7" s="2"/>
      <c r="Q7" s="7"/>
      <c r="S7" s="19">
        <f t="shared" si="0"/>
        <v>623.2216672827625</v>
      </c>
      <c r="T7" s="19">
        <f t="shared" si="1"/>
        <v>1.4374422791497417</v>
      </c>
      <c r="U7" s="19">
        <f t="shared" si="2"/>
        <v>3913.0502723001146</v>
      </c>
      <c r="V7" s="19">
        <f t="shared" si="3"/>
        <v>0.61562635054684434</v>
      </c>
    </row>
    <row r="8" spans="1:22">
      <c r="A8" s="17"/>
      <c r="B8" s="17"/>
      <c r="C8" s="1" t="s">
        <v>21</v>
      </c>
      <c r="D8" s="1" t="s">
        <v>11</v>
      </c>
      <c r="E8" s="3">
        <v>49.4</v>
      </c>
      <c r="F8" s="6">
        <v>105.733479238877</v>
      </c>
      <c r="G8" s="2">
        <v>127.544532715833</v>
      </c>
      <c r="H8" s="7">
        <v>126.950128700832</v>
      </c>
      <c r="I8" s="6">
        <v>70.482782931139994</v>
      </c>
      <c r="J8" s="2">
        <v>24.037291033387199</v>
      </c>
      <c r="K8" s="7">
        <v>23.280669292964401</v>
      </c>
      <c r="L8" s="6"/>
      <c r="M8" s="2"/>
      <c r="N8" s="7"/>
      <c r="O8" s="6"/>
      <c r="P8" s="2"/>
      <c r="Q8" s="7"/>
      <c r="S8" s="19">
        <f t="shared" si="0"/>
        <v>450.14621439147544</v>
      </c>
      <c r="T8" s="19">
        <f t="shared" si="1"/>
        <v>0.3533161330493137</v>
      </c>
      <c r="U8" s="19">
        <f t="shared" si="2"/>
        <v>2228.0395319112422</v>
      </c>
      <c r="V8" s="19">
        <f t="shared" si="3"/>
        <v>0.57247645808042347</v>
      </c>
    </row>
    <row r="9" spans="1:22">
      <c r="A9" s="17"/>
      <c r="B9" s="17"/>
      <c r="C9" s="1" t="s">
        <v>22</v>
      </c>
      <c r="D9" s="1" t="s">
        <v>11</v>
      </c>
      <c r="E9" s="3">
        <v>52.84</v>
      </c>
      <c r="F9" s="6">
        <v>112.855916025352</v>
      </c>
      <c r="G9" s="2">
        <v>138.61288995347201</v>
      </c>
      <c r="H9" s="7">
        <v>137.06943638991601</v>
      </c>
      <c r="I9" s="6">
        <v>149.668779471205</v>
      </c>
      <c r="J9" s="2">
        <v>53.058111741805597</v>
      </c>
      <c r="K9" s="7">
        <v>56.483870540187702</v>
      </c>
      <c r="L9" s="6"/>
      <c r="M9" s="2"/>
      <c r="N9" s="7"/>
      <c r="O9" s="6"/>
      <c r="P9" s="2"/>
      <c r="Q9" s="7"/>
      <c r="S9" s="19">
        <f t="shared" si="0"/>
        <v>586.29456844515573</v>
      </c>
      <c r="T9" s="19">
        <f t="shared" si="1"/>
        <v>2.3822489028537142</v>
      </c>
      <c r="U9" s="19">
        <f t="shared" si="2"/>
        <v>8683.427252481988</v>
      </c>
      <c r="V9" s="19">
        <f t="shared" si="3"/>
        <v>11.735823344692406</v>
      </c>
    </row>
    <row r="10" spans="1:22">
      <c r="A10" s="17"/>
      <c r="B10" s="17"/>
      <c r="C10" s="1" t="s">
        <v>23</v>
      </c>
      <c r="D10" s="1" t="s">
        <v>10</v>
      </c>
      <c r="E10" s="3">
        <v>43.34</v>
      </c>
      <c r="F10" s="6">
        <v>110.08048337517501</v>
      </c>
      <c r="G10" s="2">
        <v>112.347718144089</v>
      </c>
      <c r="H10" s="7">
        <v>110.835800783751</v>
      </c>
      <c r="I10" s="6">
        <v>96.177362048226996</v>
      </c>
      <c r="J10" s="2">
        <v>22.457860428678899</v>
      </c>
      <c r="K10" s="7">
        <v>20.874354877867798</v>
      </c>
      <c r="L10" s="6"/>
      <c r="M10" s="2"/>
      <c r="N10" s="7"/>
      <c r="O10" s="6"/>
      <c r="P10" s="2"/>
      <c r="Q10" s="7"/>
      <c r="S10" s="19">
        <f t="shared" si="0"/>
        <v>0.57050438769794998</v>
      </c>
      <c r="T10" s="19">
        <f t="shared" si="1"/>
        <v>2.2858941044914358</v>
      </c>
      <c r="U10" s="19">
        <f t="shared" si="2"/>
        <v>5670.5428888991682</v>
      </c>
      <c r="V10" s="19">
        <f t="shared" si="3"/>
        <v>2.5074898294495664</v>
      </c>
    </row>
    <row r="11" spans="1:22">
      <c r="A11" s="17"/>
      <c r="B11" s="17"/>
      <c r="C11" s="1" t="s">
        <v>24</v>
      </c>
      <c r="D11" s="1" t="s">
        <v>10</v>
      </c>
      <c r="E11" s="3">
        <v>38.03</v>
      </c>
      <c r="F11" s="6">
        <v>106.519720168088</v>
      </c>
      <c r="G11" s="2">
        <v>104.86938541782</v>
      </c>
      <c r="H11" s="7">
        <v>104.407280372534</v>
      </c>
      <c r="I11" s="6">
        <v>6.7333024059059303</v>
      </c>
      <c r="J11" s="2">
        <v>0.74437128965032795</v>
      </c>
      <c r="K11" s="7">
        <v>0.801942844157287</v>
      </c>
      <c r="L11" s="6"/>
      <c r="M11" s="2"/>
      <c r="N11" s="7"/>
      <c r="O11" s="6"/>
      <c r="P11" s="2"/>
      <c r="Q11" s="7"/>
      <c r="S11" s="19">
        <f t="shared" si="0"/>
        <v>4.4624018898402094</v>
      </c>
      <c r="T11" s="19">
        <f t="shared" si="1"/>
        <v>0.21354107287877122</v>
      </c>
      <c r="U11" s="19">
        <f t="shared" si="2"/>
        <v>35.18102625074706</v>
      </c>
      <c r="V11" s="19">
        <f t="shared" si="3"/>
        <v>3.3144838883477573E-3</v>
      </c>
    </row>
    <row r="12" spans="1:22">
      <c r="A12" s="17"/>
      <c r="B12" s="17"/>
      <c r="C12" s="1" t="s">
        <v>25</v>
      </c>
      <c r="D12" s="1" t="s">
        <v>10</v>
      </c>
      <c r="E12" s="3">
        <v>36.090000000000003</v>
      </c>
      <c r="F12" s="6">
        <v>118.48901605282001</v>
      </c>
      <c r="G12" s="2">
        <v>105.78035632702399</v>
      </c>
      <c r="H12" s="7">
        <v>105.059205772312</v>
      </c>
      <c r="I12" s="6">
        <v>92.758768187842406</v>
      </c>
      <c r="J12" s="2">
        <v>6.2264190786936204</v>
      </c>
      <c r="K12" s="7">
        <v>12.396743788921301</v>
      </c>
      <c r="L12" s="6"/>
      <c r="M12" s="2"/>
      <c r="N12" s="7"/>
      <c r="O12" s="6"/>
      <c r="P12" s="2"/>
      <c r="Q12" s="7"/>
      <c r="S12" s="19">
        <f t="shared" si="0"/>
        <v>180.35980417043857</v>
      </c>
      <c r="T12" s="19">
        <f t="shared" si="1"/>
        <v>0.52005812256142092</v>
      </c>
      <c r="U12" s="19">
        <f t="shared" si="2"/>
        <v>6458.0549654927918</v>
      </c>
      <c r="V12" s="19">
        <f t="shared" si="3"/>
        <v>38.072907029646302</v>
      </c>
    </row>
    <row r="13" spans="1:22" ht="15" thickBot="1">
      <c r="A13" s="17"/>
      <c r="B13" s="1" t="s">
        <v>13</v>
      </c>
      <c r="C13" s="1" t="s">
        <v>9</v>
      </c>
      <c r="D13" s="1" t="s">
        <v>10</v>
      </c>
      <c r="E13" s="3">
        <v>83.6</v>
      </c>
      <c r="F13" s="6">
        <v>115.97581696683299</v>
      </c>
      <c r="G13" s="2">
        <v>113.00213492235</v>
      </c>
      <c r="H13" s="7">
        <v>112.048285407485</v>
      </c>
      <c r="I13" s="6">
        <v>60.639754230268899</v>
      </c>
      <c r="J13" s="2">
        <v>1.1399999999999999</v>
      </c>
      <c r="K13" s="7">
        <v>6.9997821443576003</v>
      </c>
      <c r="L13" s="6"/>
      <c r="M13" s="2"/>
      <c r="N13" s="7"/>
      <c r="O13" s="6"/>
      <c r="P13" s="2"/>
      <c r="Q13" s="7"/>
      <c r="S13" s="19">
        <f t="shared" si="0"/>
        <v>15.425504149674511</v>
      </c>
      <c r="T13" s="19">
        <f t="shared" si="1"/>
        <v>0.90982889700819314</v>
      </c>
      <c r="U13" s="19">
        <f t="shared" si="2"/>
        <v>2877.2466053773433</v>
      </c>
      <c r="V13" s="19">
        <f t="shared" si="3"/>
        <v>34.337046779332162</v>
      </c>
    </row>
    <row r="14" spans="1:22" ht="15" thickBot="1">
      <c r="A14" s="17"/>
      <c r="B14" s="1"/>
      <c r="C14" s="1" t="s">
        <v>20</v>
      </c>
      <c r="D14" s="1" t="s">
        <v>11</v>
      </c>
      <c r="E14" s="3">
        <v>102.7</v>
      </c>
      <c r="F14" s="13" t="s">
        <v>34</v>
      </c>
      <c r="G14" s="14"/>
      <c r="H14" s="14"/>
      <c r="I14" s="15"/>
      <c r="J14" s="15"/>
      <c r="K14" s="15"/>
      <c r="L14" s="15"/>
      <c r="M14" s="15"/>
      <c r="N14" s="15"/>
      <c r="O14" s="15"/>
      <c r="P14" s="15"/>
      <c r="Q14" s="16"/>
      <c r="S14" s="19"/>
      <c r="T14" s="19">
        <f t="shared" si="1"/>
        <v>0</v>
      </c>
      <c r="U14" s="19">
        <f t="shared" si="2"/>
        <v>0</v>
      </c>
      <c r="V14" s="19">
        <f t="shared" si="3"/>
        <v>0</v>
      </c>
    </row>
    <row r="15" spans="1:22">
      <c r="A15" s="17"/>
      <c r="B15" s="1"/>
      <c r="C15" s="1" t="s">
        <v>26</v>
      </c>
      <c r="D15" s="1" t="s">
        <v>10</v>
      </c>
      <c r="E15" s="3">
        <v>59.31</v>
      </c>
      <c r="F15" s="6">
        <v>121.396848924396</v>
      </c>
      <c r="G15" s="2">
        <v>110.515136921376</v>
      </c>
      <c r="H15" s="7">
        <v>109.245860407103</v>
      </c>
      <c r="I15" s="6">
        <v>13.3732925126948</v>
      </c>
      <c r="J15" s="2">
        <v>5.3229754330655501</v>
      </c>
      <c r="K15" s="7">
        <v>5.3707567153911597</v>
      </c>
      <c r="L15" s="6"/>
      <c r="M15" s="2"/>
      <c r="N15" s="7"/>
      <c r="O15" s="6"/>
      <c r="P15" s="2"/>
      <c r="Q15" s="7"/>
      <c r="S15" s="19">
        <f t="shared" si="0"/>
        <v>147.64652194738636</v>
      </c>
      <c r="T15" s="19">
        <f t="shared" si="1"/>
        <v>1.6110628696850235</v>
      </c>
      <c r="U15" s="19">
        <f t="shared" si="2"/>
        <v>64.040579187126198</v>
      </c>
      <c r="V15" s="19">
        <f t="shared" si="3"/>
        <v>2.2830509406796154E-3</v>
      </c>
    </row>
    <row r="16" spans="1:22">
      <c r="A16" s="17"/>
      <c r="B16" s="1"/>
      <c r="C16" s="1" t="s">
        <v>27</v>
      </c>
      <c r="D16" s="1" t="s">
        <v>10</v>
      </c>
      <c r="E16" s="3">
        <v>36.92</v>
      </c>
      <c r="F16" s="6">
        <v>116.21341556652899</v>
      </c>
      <c r="G16" s="2">
        <v>106.618621278387</v>
      </c>
      <c r="H16" s="7">
        <v>105.665050443648</v>
      </c>
      <c r="I16" s="6">
        <v>54.142034179951303</v>
      </c>
      <c r="J16" s="2">
        <v>5.9558008013115904</v>
      </c>
      <c r="K16" s="7">
        <v>11.9597345851095</v>
      </c>
      <c r="L16" s="6"/>
      <c r="M16" s="2"/>
      <c r="N16" s="7"/>
      <c r="O16" s="6"/>
      <c r="P16" s="2"/>
      <c r="Q16" s="7"/>
      <c r="S16" s="19">
        <f t="shared" si="0"/>
        <v>111.26800676561218</v>
      </c>
      <c r="T16" s="19">
        <f t="shared" si="1"/>
        <v>0.90929733686482761</v>
      </c>
      <c r="U16" s="19">
        <f t="shared" si="2"/>
        <v>1779.3463991089907</v>
      </c>
      <c r="V16" s="19">
        <f t="shared" si="3"/>
        <v>36.047220880229879</v>
      </c>
    </row>
    <row r="17" spans="1:22">
      <c r="A17" s="17"/>
      <c r="B17" s="1" t="s">
        <v>15</v>
      </c>
      <c r="C17" s="1" t="s">
        <v>9</v>
      </c>
      <c r="D17" s="1" t="s">
        <v>11</v>
      </c>
      <c r="E17" s="3">
        <v>72.88</v>
      </c>
      <c r="F17" s="6">
        <v>108.308215582765</v>
      </c>
      <c r="G17" s="2">
        <v>133.40097055338401</v>
      </c>
      <c r="H17" s="7">
        <v>130.63716058305801</v>
      </c>
      <c r="I17" s="6">
        <v>7.0739598914419402</v>
      </c>
      <c r="J17" s="2">
        <v>15.9686642950186</v>
      </c>
      <c r="K17" s="7">
        <v>16.2289137718248</v>
      </c>
      <c r="L17" s="6"/>
      <c r="M17" s="2"/>
      <c r="N17" s="7"/>
      <c r="O17" s="6"/>
      <c r="P17" s="2"/>
      <c r="Q17" s="7"/>
      <c r="S17" s="19">
        <f t="shared" si="0"/>
        <v>498.58178482610992</v>
      </c>
      <c r="T17" s="19">
        <f t="shared" si="1"/>
        <v>7.6386455520734504</v>
      </c>
      <c r="U17" s="19">
        <f t="shared" si="2"/>
        <v>83.813180551937165</v>
      </c>
      <c r="V17" s="19">
        <f t="shared" si="3"/>
        <v>6.7729790177900734E-2</v>
      </c>
    </row>
    <row r="18" spans="1:22">
      <c r="A18" s="17"/>
      <c r="B18" s="1"/>
      <c r="C18" s="1" t="s">
        <v>26</v>
      </c>
      <c r="D18" s="1" t="s">
        <v>10</v>
      </c>
      <c r="E18" s="3">
        <v>74.8</v>
      </c>
      <c r="F18" s="6">
        <v>108.397823537568</v>
      </c>
      <c r="G18" s="2">
        <v>118.50704454466199</v>
      </c>
      <c r="H18" s="7">
        <v>116.783518327827</v>
      </c>
      <c r="I18" s="6">
        <v>90.369737733629705</v>
      </c>
      <c r="J18" s="2">
        <v>29.450967257008799</v>
      </c>
      <c r="K18" s="7">
        <v>26.1810044232462</v>
      </c>
      <c r="L18" s="6"/>
      <c r="M18" s="2"/>
      <c r="N18" s="7"/>
      <c r="O18" s="6"/>
      <c r="P18" s="2"/>
      <c r="Q18" s="7"/>
      <c r="S18" s="19">
        <f t="shared" si="0"/>
        <v>70.319877115376855</v>
      </c>
      <c r="T18" s="19">
        <f t="shared" si="1"/>
        <v>2.9705426201175591</v>
      </c>
      <c r="U18" s="19">
        <f t="shared" si="2"/>
        <v>4120.1934839915357</v>
      </c>
      <c r="V18" s="19">
        <f t="shared" si="3"/>
        <v>10.692656934188721</v>
      </c>
    </row>
    <row r="19" spans="1:22">
      <c r="A19" s="17"/>
      <c r="B19" s="1"/>
      <c r="C19" s="1" t="s">
        <v>27</v>
      </c>
      <c r="D19" s="1" t="s">
        <v>10</v>
      </c>
      <c r="E19" s="3">
        <v>82.48</v>
      </c>
      <c r="F19" s="6">
        <v>111.94124896887099</v>
      </c>
      <c r="G19" s="2">
        <v>116.01545954484401</v>
      </c>
      <c r="H19" s="7">
        <v>114.669616204173</v>
      </c>
      <c r="I19" s="6">
        <v>45.298865656967102</v>
      </c>
      <c r="J19" s="2">
        <v>0.72822486196781699</v>
      </c>
      <c r="K19" s="7">
        <v>0.72868754818414805</v>
      </c>
      <c r="L19" s="6"/>
      <c r="M19" s="2"/>
      <c r="N19" s="7"/>
      <c r="O19" s="6"/>
      <c r="P19" s="2"/>
      <c r="Q19" s="7"/>
      <c r="S19" s="19">
        <f t="shared" si="0"/>
        <v>7.4439877706694917</v>
      </c>
      <c r="T19" s="19">
        <f t="shared" si="1"/>
        <v>1.8112942976285042</v>
      </c>
      <c r="U19" s="19">
        <f t="shared" si="2"/>
        <v>1986.5007766486353</v>
      </c>
      <c r="V19" s="19">
        <f t="shared" si="3"/>
        <v>2.1407853478274701E-7</v>
      </c>
    </row>
    <row r="20" spans="1:22">
      <c r="A20" s="17"/>
      <c r="B20" s="1"/>
      <c r="C20" s="1" t="s">
        <v>28</v>
      </c>
      <c r="D20" s="1" t="s">
        <v>10</v>
      </c>
      <c r="E20" s="3">
        <v>96.4</v>
      </c>
      <c r="F20" s="6">
        <v>107.34399873945399</v>
      </c>
      <c r="G20" s="2">
        <v>121.469078494858</v>
      </c>
      <c r="H20" s="7">
        <v>120.61929868496701</v>
      </c>
      <c r="I20" s="6">
        <v>0.85838596788433796</v>
      </c>
      <c r="J20" s="2">
        <v>0.95046790064660702</v>
      </c>
      <c r="K20" s="7">
        <v>0.87724705487652699</v>
      </c>
      <c r="L20" s="6"/>
      <c r="M20" s="2"/>
      <c r="N20" s="7"/>
      <c r="O20" s="6"/>
      <c r="P20" s="2"/>
      <c r="Q20" s="7"/>
      <c r="S20" s="19">
        <f t="shared" si="0"/>
        <v>176.23358864333778</v>
      </c>
      <c r="T20" s="19">
        <f t="shared" si="1"/>
        <v>0.72212572529836649</v>
      </c>
      <c r="U20" s="19">
        <f t="shared" si="2"/>
        <v>3.5574060252692202E-4</v>
      </c>
      <c r="V20" s="19">
        <f t="shared" si="3"/>
        <v>5.3612922552858473E-3</v>
      </c>
    </row>
    <row r="21" spans="1:22">
      <c r="A21" s="17"/>
      <c r="B21" s="1" t="s">
        <v>16</v>
      </c>
      <c r="C21" s="1" t="s">
        <v>9</v>
      </c>
      <c r="D21" s="1" t="s">
        <v>11</v>
      </c>
      <c r="E21" s="3">
        <v>117.43</v>
      </c>
      <c r="F21" s="6">
        <v>125.494197875135</v>
      </c>
      <c r="G21" s="2">
        <v>129.21259555310999</v>
      </c>
      <c r="H21" s="7">
        <v>129.968557929382</v>
      </c>
      <c r="I21" s="6">
        <v>19.5003234083295</v>
      </c>
      <c r="J21" s="2">
        <v>0.70792205061672897</v>
      </c>
      <c r="K21" s="7">
        <v>0.69507047298138203</v>
      </c>
      <c r="L21" s="6"/>
      <c r="M21" s="2"/>
      <c r="N21" s="7"/>
      <c r="O21" s="6"/>
      <c r="P21" s="2"/>
      <c r="Q21" s="7"/>
      <c r="S21" s="19">
        <f t="shared" si="0"/>
        <v>20.019897895041222</v>
      </c>
      <c r="T21" s="19">
        <f t="shared" si="1"/>
        <v>0.57147911433882304</v>
      </c>
      <c r="U21" s="19">
        <f t="shared" si="2"/>
        <v>353.637537962419</v>
      </c>
      <c r="V21" s="19">
        <f t="shared" si="3"/>
        <v>1.6516304771734976E-4</v>
      </c>
    </row>
    <row r="22" spans="1:22">
      <c r="A22" s="17"/>
      <c r="B22" s="1"/>
      <c r="C22" s="1" t="s">
        <v>12</v>
      </c>
      <c r="D22" s="1" t="s">
        <v>10</v>
      </c>
      <c r="E22" s="3">
        <v>117.25</v>
      </c>
      <c r="F22" s="6">
        <v>129.17533154569901</v>
      </c>
      <c r="G22" s="2">
        <v>114.529784447813</v>
      </c>
      <c r="H22" s="7">
        <v>115.032287870517</v>
      </c>
      <c r="I22" s="6">
        <v>12.270439001464499</v>
      </c>
      <c r="J22" s="2">
        <v>1.0228241456012199</v>
      </c>
      <c r="K22" s="7">
        <v>1.01937206419663</v>
      </c>
      <c r="L22" s="6"/>
      <c r="M22" s="2"/>
      <c r="N22" s="7"/>
      <c r="O22" s="6"/>
      <c r="P22" s="2"/>
      <c r="Q22" s="7"/>
      <c r="S22" s="19">
        <f t="shared" si="0"/>
        <v>200.02568439810597</v>
      </c>
      <c r="T22" s="19">
        <f t="shared" si="1"/>
        <v>0.25250968982923017</v>
      </c>
      <c r="U22" s="19">
        <f t="shared" si="2"/>
        <v>126.58650722688218</v>
      </c>
      <c r="V22" s="19">
        <f t="shared" si="3"/>
        <v>1.191686602391585E-5</v>
      </c>
    </row>
    <row r="23" spans="1:22">
      <c r="A23" s="17"/>
      <c r="B23" s="1"/>
      <c r="C23" s="1" t="s">
        <v>28</v>
      </c>
      <c r="D23" s="1" t="s">
        <v>10</v>
      </c>
      <c r="E23" s="3">
        <v>44.31</v>
      </c>
      <c r="F23" s="6">
        <v>125.730238295316</v>
      </c>
      <c r="G23" s="2">
        <v>106.631404903408</v>
      </c>
      <c r="H23" s="7">
        <v>106.820101315278</v>
      </c>
      <c r="I23" s="6">
        <v>24.250927282345199</v>
      </c>
      <c r="J23" s="2">
        <v>6.3120931295404299</v>
      </c>
      <c r="K23" s="7">
        <v>9.7152506776289105</v>
      </c>
      <c r="L23" s="6"/>
      <c r="M23" s="2"/>
      <c r="N23" s="7"/>
      <c r="O23" s="6"/>
      <c r="P23" s="2"/>
      <c r="Q23" s="7"/>
      <c r="S23" s="19">
        <f t="shared" si="0"/>
        <v>357.59328060380085</v>
      </c>
      <c r="T23" s="19">
        <f t="shared" si="1"/>
        <v>3.5606335852611866E-2</v>
      </c>
      <c r="U23" s="19">
        <f t="shared" si="2"/>
        <v>211.28589435689645</v>
      </c>
      <c r="V23" s="19">
        <f t="shared" si="3"/>
        <v>11.581481297111599</v>
      </c>
    </row>
    <row r="24" spans="1:22">
      <c r="A24" s="17"/>
      <c r="B24" s="1"/>
      <c r="C24" s="1" t="s">
        <v>29</v>
      </c>
      <c r="D24" s="1" t="s">
        <v>11</v>
      </c>
      <c r="E24" s="3">
        <v>52.01</v>
      </c>
      <c r="F24" s="6">
        <v>136.734783036468</v>
      </c>
      <c r="G24" s="2">
        <v>139.397291102672</v>
      </c>
      <c r="H24" s="7">
        <v>139.91537497351999</v>
      </c>
      <c r="I24" s="6">
        <v>53.185500193588503</v>
      </c>
      <c r="J24" s="2">
        <v>0.582030502847241</v>
      </c>
      <c r="K24" s="7">
        <v>0.55075601282577802</v>
      </c>
      <c r="L24" s="6"/>
      <c r="M24" s="2"/>
      <c r="N24" s="7"/>
      <c r="O24" s="6"/>
      <c r="P24" s="2"/>
      <c r="Q24" s="7"/>
      <c r="S24" s="19">
        <f t="shared" si="0"/>
        <v>10.116165070040104</v>
      </c>
      <c r="T24" s="19">
        <f t="shared" si="1"/>
        <v>0.26841089723283496</v>
      </c>
      <c r="U24" s="19">
        <f t="shared" si="2"/>
        <v>2770.4162949743354</v>
      </c>
      <c r="V24" s="19">
        <f t="shared" si="3"/>
        <v>9.7809372610258797E-4</v>
      </c>
    </row>
    <row r="25" spans="1:22">
      <c r="A25" s="17"/>
      <c r="B25" s="1" t="s">
        <v>17</v>
      </c>
      <c r="C25" s="1" t="s">
        <v>9</v>
      </c>
      <c r="D25" s="1" t="s">
        <v>11</v>
      </c>
      <c r="E25" s="3">
        <v>61.45</v>
      </c>
      <c r="F25" s="6">
        <v>133.362970258893</v>
      </c>
      <c r="G25" s="2">
        <v>117.056783903922</v>
      </c>
      <c r="H25" s="7">
        <v>115.429611456873</v>
      </c>
      <c r="I25" s="6">
        <v>15.9993892834998</v>
      </c>
      <c r="J25" s="2">
        <v>39.812797615560598</v>
      </c>
      <c r="K25" s="7">
        <v>38.213659964026903</v>
      </c>
      <c r="L25" s="6"/>
      <c r="M25" s="2"/>
      <c r="N25" s="7"/>
      <c r="O25" s="6"/>
      <c r="P25" s="2"/>
      <c r="Q25" s="7"/>
      <c r="S25" s="19">
        <f t="shared" si="0"/>
        <v>321.60535792198806</v>
      </c>
      <c r="T25" s="19">
        <f t="shared" si="1"/>
        <v>2.6476901724354027</v>
      </c>
      <c r="U25" s="19">
        <f t="shared" si="2"/>
        <v>493.47382186772597</v>
      </c>
      <c r="V25" s="19">
        <f t="shared" si="3"/>
        <v>2.557241228552702</v>
      </c>
    </row>
    <row r="26" spans="1:22">
      <c r="A26" s="17"/>
      <c r="B26" s="1"/>
      <c r="C26" s="1" t="s">
        <v>12</v>
      </c>
      <c r="D26" s="1" t="s">
        <v>10</v>
      </c>
      <c r="E26" s="3">
        <v>61.35</v>
      </c>
      <c r="F26" s="6">
        <v>130.72299011535901</v>
      </c>
      <c r="G26" s="2">
        <v>108.447541242252</v>
      </c>
      <c r="H26" s="7">
        <v>107.198401200598</v>
      </c>
      <c r="I26" s="6">
        <v>30.684895616806202</v>
      </c>
      <c r="J26" s="2">
        <v>6.9714405888753204</v>
      </c>
      <c r="K26" s="7">
        <v>0.809230033096765</v>
      </c>
      <c r="L26" s="6"/>
      <c r="M26" s="2"/>
      <c r="N26" s="7"/>
      <c r="O26" s="6"/>
      <c r="P26" s="2"/>
      <c r="Q26" s="7"/>
      <c r="S26" s="19">
        <f t="shared" si="0"/>
        <v>553.40628360849666</v>
      </c>
      <c r="T26" s="19">
        <f t="shared" si="1"/>
        <v>1.5603508436633611</v>
      </c>
      <c r="U26" s="19">
        <f t="shared" si="2"/>
        <v>892.55539406964056</v>
      </c>
      <c r="V26" s="19">
        <f t="shared" si="3"/>
        <v>37.972838933748655</v>
      </c>
    </row>
    <row r="27" spans="1:22">
      <c r="A27" s="17"/>
      <c r="B27" s="1"/>
      <c r="C27" s="1" t="s">
        <v>30</v>
      </c>
      <c r="D27" s="1" t="s">
        <v>11</v>
      </c>
      <c r="E27" s="3">
        <v>65.63</v>
      </c>
      <c r="F27" s="6">
        <v>140.83199798750999</v>
      </c>
      <c r="G27" s="2">
        <v>127.21751592112101</v>
      </c>
      <c r="H27" s="7">
        <v>122.64804927616601</v>
      </c>
      <c r="I27" s="6">
        <v>0.63833265321499999</v>
      </c>
      <c r="J27" s="2">
        <v>0.82479283135591197</v>
      </c>
      <c r="K27" s="7">
        <v>0.79202022771845104</v>
      </c>
      <c r="L27" s="6"/>
      <c r="M27" s="2"/>
      <c r="N27" s="7"/>
      <c r="O27" s="6"/>
      <c r="P27" s="2"/>
      <c r="Q27" s="7"/>
      <c r="S27" s="19">
        <f t="shared" si="0"/>
        <v>330.65599073678868</v>
      </c>
      <c r="T27" s="19">
        <f t="shared" si="1"/>
        <v>20.880025419356304</v>
      </c>
      <c r="U27" s="19">
        <f t="shared" si="2"/>
        <v>2.3619870556753818E-2</v>
      </c>
      <c r="V27" s="19">
        <f t="shared" si="3"/>
        <v>1.0740435491781173E-3</v>
      </c>
    </row>
    <row r="28" spans="1:22">
      <c r="A28" s="17"/>
      <c r="B28" s="1"/>
      <c r="C28" s="1" t="s">
        <v>26</v>
      </c>
      <c r="D28" s="1" t="s">
        <v>10</v>
      </c>
      <c r="E28" s="3">
        <v>85.64</v>
      </c>
      <c r="F28" s="6">
        <v>116.75457201989499</v>
      </c>
      <c r="G28" s="2">
        <v>111.936552254142</v>
      </c>
      <c r="H28" s="7">
        <v>109.657665001166</v>
      </c>
      <c r="I28" s="6">
        <v>57.709172610371098</v>
      </c>
      <c r="J28" s="2">
        <v>0.77057702212294299</v>
      </c>
      <c r="K28" s="7">
        <v>0.88684602711777505</v>
      </c>
      <c r="L28" s="6"/>
      <c r="M28" s="2"/>
      <c r="N28" s="7"/>
      <c r="O28" s="6"/>
      <c r="P28" s="2"/>
      <c r="Q28" s="7"/>
      <c r="S28" s="19">
        <f t="shared" si="0"/>
        <v>50.366089232484924</v>
      </c>
      <c r="T28" s="19">
        <f t="shared" si="1"/>
        <v>5.193327111776525</v>
      </c>
      <c r="U28" s="19">
        <f t="shared" si="2"/>
        <v>3228.7767983338972</v>
      </c>
      <c r="V28" s="19">
        <f t="shared" si="3"/>
        <v>1.3518481522488282E-2</v>
      </c>
    </row>
    <row r="29" spans="1:22">
      <c r="A29" s="17"/>
      <c r="B29" s="1" t="s">
        <v>31</v>
      </c>
      <c r="C29" s="1" t="s">
        <v>9</v>
      </c>
      <c r="D29" s="1" t="s">
        <v>10</v>
      </c>
      <c r="E29" s="3">
        <v>39.08</v>
      </c>
      <c r="F29" s="6">
        <v>124.329402435007</v>
      </c>
      <c r="G29" s="2">
        <v>105.781725004988</v>
      </c>
      <c r="H29" s="7">
        <v>105.584988260575</v>
      </c>
      <c r="I29" s="6">
        <v>45.660449228096802</v>
      </c>
      <c r="J29" s="2">
        <v>12.530336790432001</v>
      </c>
      <c r="K29" s="7">
        <v>105.319268489712</v>
      </c>
      <c r="L29" s="6"/>
      <c r="M29" s="2"/>
      <c r="N29" s="7"/>
      <c r="O29" s="6"/>
      <c r="P29" s="2"/>
      <c r="Q29" s="7"/>
      <c r="S29" s="19">
        <f t="shared" si="0"/>
        <v>351.35306274264707</v>
      </c>
      <c r="T29" s="19">
        <f t="shared" si="1"/>
        <v>3.8705346602226846E-2</v>
      </c>
      <c r="U29" s="19">
        <f t="shared" si="2"/>
        <v>3559.1747156900688</v>
      </c>
      <c r="V29" s="19">
        <f t="shared" si="3"/>
        <v>8609.785845893648</v>
      </c>
    </row>
    <row r="30" spans="1:22">
      <c r="A30" s="17"/>
      <c r="B30" s="1"/>
      <c r="C30" s="1" t="s">
        <v>32</v>
      </c>
      <c r="D30" s="1" t="s">
        <v>11</v>
      </c>
      <c r="E30" s="3">
        <v>48.65</v>
      </c>
      <c r="F30" s="6">
        <v>115.53507760364</v>
      </c>
      <c r="G30" s="2">
        <v>115.629897221904</v>
      </c>
      <c r="H30" s="7">
        <v>114.74485012614601</v>
      </c>
      <c r="I30" s="6">
        <v>49.565484258937097</v>
      </c>
      <c r="J30" s="2">
        <v>22.869911874638198</v>
      </c>
      <c r="K30" s="7">
        <v>22.591507763079399</v>
      </c>
      <c r="L30" s="6"/>
      <c r="M30" s="2"/>
      <c r="N30" s="7"/>
      <c r="O30" s="6"/>
      <c r="P30" s="2"/>
      <c r="Q30" s="7"/>
      <c r="S30" s="19">
        <f t="shared" si="0"/>
        <v>0.62445946618652981</v>
      </c>
      <c r="T30" s="19">
        <f t="shared" si="1"/>
        <v>0.78330836170966556</v>
      </c>
      <c r="U30" s="19">
        <f t="shared" si="2"/>
        <v>727.59540799908359</v>
      </c>
      <c r="V30" s="19">
        <f t="shared" si="3"/>
        <v>7.7508849332844548E-2</v>
      </c>
    </row>
    <row r="31" spans="1:22">
      <c r="A31" s="17"/>
      <c r="B31" s="1"/>
      <c r="C31" s="1" t="s">
        <v>33</v>
      </c>
      <c r="D31" s="1" t="s">
        <v>11</v>
      </c>
      <c r="E31" s="3">
        <v>53.02</v>
      </c>
      <c r="F31" s="6">
        <v>122.152897617723</v>
      </c>
      <c r="G31" s="2">
        <v>122.386734936614</v>
      </c>
      <c r="H31" s="7">
        <v>121.685216679221</v>
      </c>
      <c r="I31" s="6">
        <v>34.078777792618503</v>
      </c>
      <c r="J31" s="2">
        <v>16.1907832296544</v>
      </c>
      <c r="K31" s="7">
        <v>13.6603744679624</v>
      </c>
      <c r="L31" s="6"/>
      <c r="M31" s="2"/>
      <c r="N31" s="7"/>
      <c r="O31" s="6"/>
      <c r="P31" s="2"/>
      <c r="Q31" s="7"/>
      <c r="S31" s="19">
        <f t="shared" si="0"/>
        <v>0.21872546023811087</v>
      </c>
      <c r="T31" s="19">
        <f t="shared" si="1"/>
        <v>0.49212786545571807</v>
      </c>
      <c r="U31" s="19">
        <f t="shared" si="2"/>
        <v>416.91119432832744</v>
      </c>
      <c r="V31" s="19">
        <f t="shared" si="3"/>
        <v>6.4029685012476394</v>
      </c>
    </row>
    <row r="32" spans="1:22">
      <c r="S32" s="19">
        <f>SQRT(SUM(S4:S31)/26)</f>
        <v>14.240851593336597</v>
      </c>
      <c r="T32" s="19">
        <f>SQRT(SUM(T4:T31)/26)</f>
        <v>1.5002123859648731</v>
      </c>
      <c r="U32" s="19">
        <f>SQRT(SUM(U4:U31)/26)</f>
        <v>46.134760562075151</v>
      </c>
      <c r="V32" s="19">
        <f>SQRT(SUM(V4:V31)/26)</f>
        <v>18.596933188958982</v>
      </c>
    </row>
    <row r="35" spans="6:7">
      <c r="F35" s="19"/>
      <c r="G35" s="19"/>
    </row>
    <row r="36" spans="6:7">
      <c r="F36" s="19"/>
      <c r="G36" s="19"/>
    </row>
    <row r="37" spans="6:7">
      <c r="F37" s="19"/>
      <c r="G37" s="19"/>
    </row>
    <row r="38" spans="6:7">
      <c r="F38" s="19"/>
      <c r="G38" s="19"/>
    </row>
  </sheetData>
  <mergeCells count="13">
    <mergeCell ref="L2:N2"/>
    <mergeCell ref="O2:Q2"/>
    <mergeCell ref="A1:Q1"/>
    <mergeCell ref="F14:Q14"/>
    <mergeCell ref="A4:A31"/>
    <mergeCell ref="B4:B12"/>
    <mergeCell ref="A2:A3"/>
    <mergeCell ref="B2:B3"/>
    <mergeCell ref="C2:C3"/>
    <mergeCell ref="I2:K2"/>
    <mergeCell ref="D2:D3"/>
    <mergeCell ref="E2:E3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2026-02-08T19:11:00Z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